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253c9d903742b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piry Aging" sheetId="1" r:id="Rc861c7e2d2e8411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0"/>
    <x:numFmt numFmtId="202" formatCode="0.0"/>
    <x:numFmt numFmtId="203" formatCode="#,##0"/>
  </x:numFmts>
  <x:fonts count="3">
    <x:font>
      <x:sz val="11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4557A"/>
      </x:patternFill>
    </x:fill>
    <x:fill>
      <x:patternFill patternType="solid">
        <x:fgColor rgb="FFEEF3F7"/>
      </x:patternFill>
    </x:fill>
  </x:fills>
  <x:borders count="1">
    <x:border/>
  </x:borders>
  <x:cellStyleXfs count="1">
    <x:xf numFmtId="0" fontId="0" fillId="0" borderId="0"/>
  </x:cellStyleXfs>
  <x:cellXfs count="1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9dda4dbcbc482b" /><Relationship Type="http://schemas.openxmlformats.org/officeDocument/2006/relationships/theme" Target="/xl/theme/theme1.xml" Id="Rd815ccf656af4bdd" /><Relationship Type="http://schemas.openxmlformats.org/officeDocument/2006/relationships/sharedStrings" Target="/xl/sharedStrings.xml" Id="Rccc89de0fbf047d6" /><Relationship Type="http://schemas.openxmlformats.org/officeDocument/2006/relationships/worksheet" Target="/xl/worksheets/sheet1.xml" Id="Rc861c7e2d2e8411c" /></Relationships>
</file>

<file path=xl/tables/table1.xml><?xml version="1.0" encoding="utf-8"?>
<x:table xmlns:x="http://schemas.openxmlformats.org/spreadsheetml/2006/main" id="1" name="ExpiryAging" displayName="ExpiryAging" ref="A4:L160" headerRowCount="1">
  <x:tableColumns count="12">
    <x:tableColumn id="1" name="SKU"/>
    <x:tableColumn id="2" name="Product Name"/>
    <x:tableColumn id="3" name="Warehouse Location"/>
    <x:tableColumn id="4" name="Storage Condition"/>
    <x:tableColumn id="5" name="Manufacturing Date"/>
    <x:tableColumn id="6" name="Expiry Date"/>
    <x:tableColumn id="7" name="Days To Expiry"/>
    <x:tableColumn id="8" name="Months To Expiry"/>
    <x:tableColumn id="9" name="Expiry Bucket"/>
    <x:tableColumn id="10" name="Quantity On Hand"/>
    <x:tableColumn id="11" name="Quality Control Status"/>
    <x:tableColumn id="12" name="Recommended Ac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593bbffc9a34b6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2" hidden="0" customWidth="1"/>
    <x:col min="3" max="3" width="23" hidden="0" customWidth="1"/>
    <x:col min="4" max="4" width="21" hidden="0" customWidth="1"/>
    <x:col min="5" max="5" width="19" hidden="0" customWidth="1"/>
    <x:col min="6" max="6" width="16" hidden="0" customWidth="1"/>
    <x:col min="7" max="7" width="16" hidden="0" customWidth="1"/>
    <x:col min="8" max="8" width="18" hidden="0" customWidth="1"/>
    <x:col min="9" max="9" width="16" hidden="0" customWidth="1"/>
    <x:col min="10" max="10" width="18" hidden="0" customWidth="1"/>
    <x:col min="11" max="11" width="23" hidden="0" customWidth="1"/>
    <x:col min="12" max="12" width="38" hidden="0" customWidth="1"/>
  </x:cols>
  <x:sheetData>
    <x:row r="1" ht="28" customHeight="1">
      <x:c r="A1" s="4" t="str">
        <x:v>Expiry Aging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2" ht="24" customHeight="1">
      <x:c r="A2" s="7" t="str">
        <x:v>Inventory aging by product and warehouse with quality status and clear commercial or supply action.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4">
      <x:c r="A4" t="str">
        <x:v>SKU</x:v>
      </x:c>
      <x:c r="B4" t="str">
        <x:v>Product Name</x:v>
      </x:c>
      <x:c r="C4" t="str">
        <x:v>Warehouse Location</x:v>
      </x:c>
      <x:c r="D4" t="str">
        <x:v>Storage Condition</x:v>
      </x:c>
      <x:c r="E4" t="str">
        <x:v>Manufacturing Date</x:v>
      </x:c>
      <x:c r="F4" t="str">
        <x:v>Expiry Date</x:v>
      </x:c>
      <x:c r="G4" t="str">
        <x:v>Days To Expiry</x:v>
      </x:c>
      <x:c r="H4" t="str">
        <x:v>Months To Expiry</x:v>
      </x:c>
      <x:c r="I4" t="str">
        <x:v>Expiry Bucket</x:v>
      </x:c>
      <x:c r="J4" t="str">
        <x:v>Quantity On Hand</x:v>
      </x:c>
      <x:c r="K4" t="str">
        <x:v>Quality Control Status</x:v>
      </x:c>
      <x:c r="L4" t="str">
        <x:v>Recommended Action</x:v>
      </x:c>
    </x:row>
    <x:row r="5">
      <x:c r="A5" t="str">
        <x:v>RX-ONC-100</x:v>
      </x:c>
      <x:c r="B5" t="str">
        <x:v>Product Alpha</x:v>
      </x:c>
      <x:c r="C5" t="str">
        <x:v>Central Warehouse A</x:v>
      </x:c>
      <x:c r="D5" t="str">
        <x:v>Refrigerated (2-8 C)</x:v>
      </x:c>
      <x:c r="E5" s="8" t="n">
        <x:v>45667</x:v>
      </x:c>
      <x:c r="F5" s="8" t="n">
        <x:v>46132</x:v>
      </x:c>
      <x:c r="G5" s="9" t="n">
        <x:f>F5-TODAY()</x:f>
        <x:v>-59</x:v>
      </x:c>
      <x:c r="H5" s="10" t="n">
        <x:f>G5/30</x:f>
        <x:v>-1.9666666666666666</x:v>
      </x:c>
      <x:c r="I5" t="str">
        <x:f>IF(H5&lt;3,"Critical",IF(H5&lt;=6,"Watch",IF(H5&lt;=12,"Normal","Healthy")))</x:f>
        <x:v>Critical</x:v>
      </x:c>
      <x:c r="J5" s="11" t="n">
        <x:v>475</x:v>
      </x:c>
      <x:c r="K5" t="str">
        <x:v>Released for Sale</x:v>
      </x:c>
      <x:c r="L5" s="12" t="str">
        <x:f>IF(OR(K5="Rejected",K5="Under Investigation"),"Escalate Supply Review",IF(I5="Critical",IF(MOD(ROW(),2)=0,"Commercial Discount Candidate","Redistribution Required"),IF(I5="Watch",IF(MOD(ROW(),2)=0,"Allocate to Tender Opportunity","Prioritize Current Orders"),IF(I5="Normal","Prioritize Current Orders","Normal Earliest Expiry First Rotation"))))</x:f>
        <x:v>Redistribution Required</x:v>
      </x:c>
    </x:row>
    <x:row r="6">
      <x:c r="A6" t="str">
        <x:v>RX-ONC-500</x:v>
      </x:c>
      <x:c r="B6" t="str">
        <x:v>Product Beta</x:v>
      </x:c>
      <x:c r="C6" t="str">
        <x:v>Central Warehouse B</x:v>
      </x:c>
      <x:c r="D6" t="str">
        <x:v>Refrigerated (2-8 C)</x:v>
      </x:c>
      <x:c r="E6" s="8" t="n">
        <x:v>45698</x:v>
      </x:c>
      <x:c r="F6" s="8" t="n">
        <x:v>46193</x:v>
      </x:c>
      <x:c r="G6" s="9" t="n">
        <x:f>F6-TODAY()</x:f>
        <x:v>2</x:v>
      </x:c>
      <x:c r="H6" s="10" t="n">
        <x:f>G6/30</x:f>
        <x:v>0.06666666666666667</x:v>
      </x:c>
      <x:c r="I6" t="str">
        <x:f>IF(H6&lt;3,"Critical",IF(H6&lt;=6,"Watch",IF(H6&lt;=12,"Normal","Healthy")))</x:f>
        <x:v>Critical</x:v>
      </x:c>
      <x:c r="J6" s="11" t="n">
        <x:v>540</x:v>
      </x:c>
      <x:c r="K6" t="str">
        <x:v>Under Investigation</x:v>
      </x:c>
      <x:c r="L6" s="12" t="str">
        <x:f>IF(OR(K6="Rejected",K6="Under Investigation"),"Escalate Supply Review",IF(I6="Critical",IF(MOD(ROW(),2)=0,"Commercial Discount Candidate","Redistribution Required"),IF(I6="Watch",IF(MOD(ROW(),2)=0,"Allocate to Tender Opportunity","Prioritize Current Orders"),IF(I6="Normal","Prioritize Current Orders","Normal Earliest Expiry First Rotation"))))</x:f>
        <x:v>Escalate Supply Review</x:v>
      </x:c>
    </x:row>
    <x:row r="7">
      <x:c r="A7" t="str">
        <x:v>BIO-RA-200</x:v>
      </x:c>
      <x:c r="B7" t="str">
        <x:v>Product Gamma</x:v>
      </x:c>
      <x:c r="C7" t="str">
        <x:v>Regional Warehouse B</x:v>
      </x:c>
      <x:c r="D7" t="str">
        <x:v>Refrigerated (2-8 C)</x:v>
      </x:c>
      <x:c r="E7" s="8" t="n">
        <x:v>45726</x:v>
      </x:c>
      <x:c r="F7" s="8" t="n">
        <x:v>46254</x:v>
      </x:c>
      <x:c r="G7" s="9" t="n">
        <x:f>F7-TODAY()</x:f>
        <x:v>63</x:v>
      </x:c>
      <x:c r="H7" s="10" t="n">
        <x:f>G7/30</x:f>
        <x:v>2.1</x:v>
      </x:c>
      <x:c r="I7" t="str">
        <x:f>IF(H7&lt;3,"Critical",IF(H7&lt;=6,"Watch",IF(H7&lt;=12,"Normal","Healthy")))</x:f>
        <x:v>Critical</x:v>
      </x:c>
      <x:c r="J7" s="11" t="n">
        <x:v>605</x:v>
      </x:c>
      <x:c r="K7" t="str">
        <x:v>Quarantine</x:v>
      </x:c>
      <x:c r="L7" s="12" t="str">
        <x:f>IF(OR(K7="Rejected",K7="Under Investigation"),"Escalate Supply Review",IF(I7="Critical",IF(MOD(ROW(),2)=0,"Commercial Discount Candidate","Redistribution Required"),IF(I7="Watch",IF(MOD(ROW(),2)=0,"Allocate to Tender Opportunity","Prioritize Current Orders"),IF(I7="Normal","Prioritize Current Orders","Normal Earliest Expiry First Rotation"))))</x:f>
        <x:v>Redistribution Required</x:v>
      </x:c>
    </x:row>
    <x:row r="8">
      <x:c r="A8" t="str">
        <x:v>RX-CARD-50</x:v>
      </x:c>
      <x:c r="B8" t="str">
        <x:v>Product Delta</x:v>
      </x:c>
      <x:c r="C8" t="str">
        <x:v>Central Warehouse C</x:v>
      </x:c>
      <x:c r="D8" t="str">
        <x:v>Ambient</x:v>
      </x:c>
      <x:c r="E8" s="8" t="n">
        <x:v>45757</x:v>
      </x:c>
      <x:c r="F8" s="8" t="n">
        <x:v>46315</x:v>
      </x:c>
      <x:c r="G8" s="9" t="n">
        <x:f>F8-TODAY()</x:f>
        <x:v>124</x:v>
      </x:c>
      <x:c r="H8" s="10" t="n">
        <x:f>G8/30</x:f>
        <x:v>4.133333333333334</x:v>
      </x:c>
      <x:c r="I8" t="str">
        <x:f>IF(H8&lt;3,"Critical",IF(H8&lt;=6,"Watch",IF(H8&lt;=12,"Normal","Healthy")))</x:f>
        <x:v>Watch</x:v>
      </x:c>
      <x:c r="J8" s="11" t="n">
        <x:v>670</x:v>
      </x:c>
      <x:c r="K8" t="str">
        <x:v>Released for Sale</x:v>
      </x:c>
      <x:c r="L8" s="12" t="str">
        <x:f>IF(OR(K8="Rejected",K8="Under Investigation"),"Escalate Supply Review",IF(I8="Critical",IF(MOD(ROW(),2)=0,"Commercial Discount Candidate","Redistribution Required"),IF(I8="Watch",IF(MOD(ROW(),2)=0,"Allocate to Tender Opportunity","Prioritize Current Orders"),IF(I8="Normal","Prioritize Current Orders","Normal Earliest Expiry First Rotation"))))</x:f>
        <x:v>Allocate to Tender Opportunity</x:v>
      </x:c>
    </x:row>
    <x:row r="9">
      <x:c r="A9" t="str">
        <x:v>RX-RARE-10</x:v>
      </x:c>
      <x:c r="B9" t="str">
        <x:v>Product Epsilon</x:v>
      </x:c>
      <x:c r="C9" t="str">
        <x:v>Quality Warehouse A</x:v>
      </x:c>
      <x:c r="D9" t="str">
        <x:v>Refrigerated (2-8 C)</x:v>
      </x:c>
      <x:c r="E9" s="8" t="n">
        <x:v>45787</x:v>
      </x:c>
      <x:c r="F9" s="8" t="n">
        <x:v>46376</x:v>
      </x:c>
      <x:c r="G9" s="9" t="n">
        <x:f>F9-TODAY()</x:f>
        <x:v>185</x:v>
      </x:c>
      <x:c r="H9" s="10" t="n">
        <x:f>G9/30</x:f>
        <x:v>6.166666666666667</x:v>
      </x:c>
      <x:c r="I9" t="str">
        <x:f>IF(H9&lt;3,"Critical",IF(H9&lt;=6,"Watch",IF(H9&lt;=12,"Normal","Healthy")))</x:f>
        <x:v>Normal</x:v>
      </x:c>
      <x:c r="J9" s="11" t="n">
        <x:v>735</x:v>
      </x:c>
      <x:c r="K9" t="str">
        <x:v>Released for Sale</x:v>
      </x:c>
      <x:c r="L9" s="12" t="str">
        <x:f>IF(OR(K9="Rejected",K9="Under Investigation"),"Escalate Supply Review",IF(I9="Critical",IF(MOD(ROW(),2)=0,"Commercial Discount Candidate","Redistribution Required"),IF(I9="Watch",IF(MOD(ROW(),2)=0,"Allocate to Tender Opportunity","Prioritize Current Orders"),IF(I9="Normal","Prioritize Current Orders","Normal Earliest Expiry First Rotation"))))</x:f>
        <x:v>Prioritize Current Orders</x:v>
      </x:c>
    </x:row>
    <x:row r="10">
      <x:c r="A10" t="str">
        <x:v>DX-COMP-01</x:v>
      </x:c>
      <x:c r="B10" t="str">
        <x:v>Product Zeta</x:v>
      </x:c>
      <x:c r="C10" t="str">
        <x:v>Central Warehouse A</x:v>
      </x:c>
      <x:c r="D10" t="str">
        <x:v>Ambient</x:v>
      </x:c>
      <x:c r="E10" s="8" t="n">
        <x:v>45818</x:v>
      </x:c>
      <x:c r="F10" s="8" t="n">
        <x:v>46438</x:v>
      </x:c>
      <x:c r="G10" s="9" t="n">
        <x:f>F10-TODAY()</x:f>
        <x:v>247</x:v>
      </x:c>
      <x:c r="H10" s="10" t="n">
        <x:f>G10/30</x:f>
        <x:v>8.233333333333333</x:v>
      </x:c>
      <x:c r="I10" t="str">
        <x:f>IF(H10&lt;3,"Critical",IF(H10&lt;=6,"Watch",IF(H10&lt;=12,"Normal","Healthy")))</x:f>
        <x:v>Normal</x:v>
      </x:c>
      <x:c r="J10" s="11" t="n">
        <x:v>800</x:v>
      </x:c>
      <x:c r="K10" t="str">
        <x:v>Under Investigation</x:v>
      </x:c>
      <x:c r="L10" s="12" t="str">
        <x:f>IF(OR(K10="Rejected",K10="Under Investigation"),"Escalate Supply Review",IF(I10="Critical",IF(MOD(ROW(),2)=0,"Commercial Discount Candidate","Redistribution Required"),IF(I10="Watch",IF(MOD(ROW(),2)=0,"Allocate to Tender Opportunity","Prioritize Current Orders"),IF(I10="Normal","Prioritize Current Orders","Normal Earliest Expiry First Rotation"))))</x:f>
        <x:v>Escalate Supply Review</x:v>
      </x:c>
    </x:row>
    <x:row r="11">
      <x:c r="A11" t="str">
        <x:v>RX-HOSP-20</x:v>
      </x:c>
      <x:c r="B11" t="str">
        <x:v>Product Eta</x:v>
      </x:c>
      <x:c r="C11" t="str">
        <x:v>Central Warehouse B</x:v>
      </x:c>
      <x:c r="D11" t="str">
        <x:v>Ambient</x:v>
      </x:c>
      <x:c r="E11" s="8" t="n">
        <x:v>45848</x:v>
      </x:c>
      <x:c r="F11" s="8" t="n">
        <x:v>46497</x:v>
      </x:c>
      <x:c r="G11" s="9" t="n">
        <x:f>F11-TODAY()</x:f>
        <x:v>306</x:v>
      </x:c>
      <x:c r="H11" s="10" t="n">
        <x:f>G11/30</x:f>
        <x:v>10.2</x:v>
      </x:c>
      <x:c r="I11" t="str">
        <x:f>IF(H11&lt;3,"Critical",IF(H11&lt;=6,"Watch",IF(H11&lt;=12,"Normal","Healthy")))</x:f>
        <x:v>Normal</x:v>
      </x:c>
      <x:c r="J11" s="11" t="n">
        <x:v>865</x:v>
      </x:c>
      <x:c r="K11" t="str">
        <x:v>Quarantine</x:v>
      </x:c>
      <x:c r="L11" s="12" t="str">
        <x:f>IF(OR(K11="Rejected",K11="Under Investigation"),"Escalate Supply Review",IF(I11="Critical",IF(MOD(ROW(),2)=0,"Commercial Discount Candidate","Redistribution Required"),IF(I11="Watch",IF(MOD(ROW(),2)=0,"Allocate to Tender Opportunity","Prioritize Current Orders"),IF(I11="Normal","Prioritize Current Orders","Normal Earliest Expiry First Rotation"))))</x:f>
        <x:v>Prioritize Current Orders</x:v>
      </x:c>
    </x:row>
    <x:row r="12">
      <x:c r="A12" t="str">
        <x:v>BIO-DERM-80</x:v>
      </x:c>
      <x:c r="B12" t="str">
        <x:v>Product Theta</x:v>
      </x:c>
      <x:c r="C12" t="str">
        <x:v>Regional Warehouse B</x:v>
      </x:c>
      <x:c r="D12" t="str">
        <x:v>Refrigerated (2-8 C)</x:v>
      </x:c>
      <x:c r="E12" s="8" t="n">
        <x:v>45879</x:v>
      </x:c>
      <x:c r="F12" s="8" t="n">
        <x:v>46558</x:v>
      </x:c>
      <x:c r="G12" s="9" t="n">
        <x:f>F12-TODAY()</x:f>
        <x:v>367</x:v>
      </x:c>
      <x:c r="H12" s="10" t="n">
        <x:f>G12/30</x:f>
        <x:v>12.233333333333333</x:v>
      </x:c>
      <x:c r="I12" t="str">
        <x:f>IF(H12&lt;3,"Critical",IF(H12&lt;=6,"Watch",IF(H12&lt;=12,"Normal","Healthy")))</x:f>
        <x:v>Healthy</x:v>
      </x:c>
      <x:c r="J12" s="11" t="n">
        <x:v>930</x:v>
      </x:c>
      <x:c r="K12" t="str">
        <x:v>Released for Sale</x:v>
      </x:c>
      <x:c r="L12" s="12" t="str">
        <x:f>IF(OR(K12="Rejected",K12="Under Investigation"),"Escalate Supply Review",IF(I12="Critical",IF(MOD(ROW(),2)=0,"Commercial Discount Candidate","Redistribution Required"),IF(I12="Watch",IF(MOD(ROW(),2)=0,"Allocate to Tender Opportunity","Prioritize Current Orders"),IF(I12="Normal","Prioritize Current Orders","Normal Earliest Expiry First Rotation"))))</x:f>
        <x:v>Normal Earliest Expiry First Rotation</x:v>
      </x:c>
    </x:row>
    <x:row r="13">
      <x:c r="A13" t="str">
        <x:v>RX-ONC-ORAL</x:v>
      </x:c>
      <x:c r="B13" t="str">
        <x:v>Product Iota</x:v>
      </x:c>
      <x:c r="C13" t="str">
        <x:v>Central Warehouse C</x:v>
      </x:c>
      <x:c r="D13" t="str">
        <x:v>Ambient</x:v>
      </x:c>
      <x:c r="E13" s="8" t="n">
        <x:v>45910</x:v>
      </x:c>
      <x:c r="F13" s="8" t="n">
        <x:v>46619</x:v>
      </x:c>
      <x:c r="G13" s="9" t="n">
        <x:f>F13-TODAY()</x:f>
        <x:v>428</x:v>
      </x:c>
      <x:c r="H13" s="10" t="n">
        <x:f>G13/30</x:f>
        <x:v>14.266666666666667</x:v>
      </x:c>
      <x:c r="I13" t="str">
        <x:f>IF(H13&lt;3,"Critical",IF(H13&lt;=6,"Watch",IF(H13&lt;=12,"Normal","Healthy")))</x:f>
        <x:v>Healthy</x:v>
      </x:c>
      <x:c r="J13" s="11" t="n">
        <x:v>995</x:v>
      </x:c>
      <x:c r="K13" t="str">
        <x:v>Released for Sale</x:v>
      </x:c>
      <x:c r="L13" s="12" t="str">
        <x:f>IF(OR(K13="Rejected",K13="Under Investigation"),"Escalate Supply Review",IF(I13="Critical",IF(MOD(ROW(),2)=0,"Commercial Discount Candidate","Redistribution Required"),IF(I13="Watch",IF(MOD(ROW(),2)=0,"Allocate to Tender Opportunity","Prioritize Current Orders"),IF(I13="Normal","Prioritize Current Orders","Normal Earliest Expiry First Rotation"))))</x:f>
        <x:v>Normal Earliest Expiry First Rotation</x:v>
      </x:c>
    </x:row>
    <x:row r="14">
      <x:c r="A14" t="str">
        <x:v>RX-RARE-INF</x:v>
      </x:c>
      <x:c r="B14" t="str">
        <x:v>Product Kappa</x:v>
      </x:c>
      <x:c r="C14" t="str">
        <x:v>Quality Warehouse A</x:v>
      </x:c>
      <x:c r="D14" t="str">
        <x:v>Refrigerated (2-8 C)</x:v>
      </x:c>
      <x:c r="E14" s="8" t="n">
        <x:v>45940</x:v>
      </x:c>
      <x:c r="F14" s="8" t="n">
        <x:v>46680</x:v>
      </x:c>
      <x:c r="G14" s="9" t="n">
        <x:f>F14-TODAY()</x:f>
        <x:v>489</x:v>
      </x:c>
      <x:c r="H14" s="10" t="n">
        <x:f>G14/30</x:f>
        <x:v>16.3</x:v>
      </x:c>
      <x:c r="I14" t="str">
        <x:f>IF(H14&lt;3,"Critical",IF(H14&lt;=6,"Watch",IF(H14&lt;=12,"Normal","Healthy")))</x:f>
        <x:v>Healthy</x:v>
      </x:c>
      <x:c r="J14" s="11" t="n">
        <x:v>1060</x:v>
      </x:c>
      <x:c r="K14" t="str">
        <x:v>Under Investigation</x:v>
      </x:c>
      <x:c r="L14" s="12" t="str">
        <x:f>IF(OR(K14="Rejected",K14="Under Investigation"),"Escalate Supply Review",IF(I14="Critical",IF(MOD(ROW(),2)=0,"Commercial Discount Candidate","Redistribution Required"),IF(I14="Watch",IF(MOD(ROW(),2)=0,"Allocate to Tender Opportunity","Prioritize Current Orders"),IF(I14="Normal","Prioritize Current Orders","Normal Earliest Expiry First Rotation"))))</x:f>
        <x:v>Escalate Supply Review</x:v>
      </x:c>
    </x:row>
    <x:row r="15">
      <x:c r="A15" t="str">
        <x:v>DX-GENE-02</x:v>
      </x:c>
      <x:c r="B15" t="str">
        <x:v>Product Lambda</x:v>
      </x:c>
      <x:c r="C15" t="str">
        <x:v>Central Warehouse A</x:v>
      </x:c>
      <x:c r="D15" t="str">
        <x:v>Ambient</x:v>
      </x:c>
      <x:c r="E15" s="8" t="n">
        <x:v>45971</x:v>
      </x:c>
      <x:c r="F15" s="8" t="n">
        <x:v>46741</x:v>
      </x:c>
      <x:c r="G15" s="9" t="n">
        <x:f>F15-TODAY()</x:f>
        <x:v>550</x:v>
      </x:c>
      <x:c r="H15" s="10" t="n">
        <x:f>G15/30</x:f>
        <x:v>18.333333333333332</x:v>
      </x:c>
      <x:c r="I15" t="str">
        <x:f>IF(H15&lt;3,"Critical",IF(H15&lt;=6,"Watch",IF(H15&lt;=12,"Normal","Healthy")))</x:f>
        <x:v>Healthy</x:v>
      </x:c>
      <x:c r="J15" s="11" t="n">
        <x:v>1125</x:v>
      </x:c>
      <x:c r="K15" t="str">
        <x:v>Quarantine</x:v>
      </x:c>
      <x:c r="L15" s="12" t="str">
        <x:f>IF(OR(K15="Rejected",K15="Under Investigation"),"Escalate Supply Review",IF(I15="Critical",IF(MOD(ROW(),2)=0,"Commercial Discount Candidate","Redistribution Required"),IF(I15="Watch",IF(MOD(ROW(),2)=0,"Allocate to Tender Opportunity","Prioritize Current Orders"),IF(I15="Normal","Prioritize Current Orders","Normal Earliest Expiry First Rotation"))))</x:f>
        <x:v>Normal Earliest Expiry First Rotation</x:v>
      </x:c>
    </x:row>
    <x:row r="16">
      <x:c r="A16" t="str">
        <x:v>SVC-PAT-01</x:v>
      </x:c>
      <x:c r="B16" t="str">
        <x:v>Product Mu</x:v>
      </x:c>
      <x:c r="C16" t="str">
        <x:v>Central Warehouse B</x:v>
      </x:c>
      <x:c r="D16" t="str">
        <x:v>Not Applicable</x:v>
      </x:c>
      <x:c r="E16" s="8" t="n">
        <x:v>46001</x:v>
      </x:c>
      <x:c r="F16" s="8" t="n">
        <x:v>46803</x:v>
      </x:c>
      <x:c r="G16" s="9" t="n">
        <x:f>F16-TODAY()</x:f>
        <x:v>612</x:v>
      </x:c>
      <x:c r="H16" s="10" t="n">
        <x:f>G16/30</x:f>
        <x:v>20.4</x:v>
      </x:c>
      <x:c r="I16" t="str">
        <x:f>IF(H16&lt;3,"Critical",IF(H16&lt;=6,"Watch",IF(H16&lt;=12,"Normal","Healthy")))</x:f>
        <x:v>Healthy</x:v>
      </x:c>
      <x:c r="J16" s="11" t="n">
        <x:v>1190</x:v>
      </x:c>
      <x:c r="K16" t="str">
        <x:v>Released for Sale</x:v>
      </x:c>
      <x:c r="L16" s="12" t="str">
        <x:f>IF(OR(K16="Rejected",K16="Under Investigation"),"Escalate Supply Review",IF(I16="Critical",IF(MOD(ROW(),2)=0,"Commercial Discount Candidate","Redistribution Required"),IF(I16="Watch",IF(MOD(ROW(),2)=0,"Allocate to Tender Opportunity","Prioritize Current Orders"),IF(I16="Normal","Prioritize Current Orders","Normal Earliest Expiry First Rotation"))))</x:f>
        <x:v>Normal Earliest Expiry First Rotation</x:v>
      </x:c>
    </x:row>
    <x:row r="17">
      <x:c r="A17" t="str">
        <x:v>RX-ONC-100</x:v>
      </x:c>
      <x:c r="B17" t="str">
        <x:v>Product Alpha</x:v>
      </x:c>
      <x:c r="C17" t="str">
        <x:v>Central Warehouse B</x:v>
      </x:c>
      <x:c r="D17" t="str">
        <x:v>Refrigerated (2-8 C)</x:v>
      </x:c>
      <x:c r="E17" s="8" t="n">
        <x:v>45698</x:v>
      </x:c>
      <x:c r="F17" s="8" t="n">
        <x:v>46223</x:v>
      </x:c>
      <x:c r="G17" s="9" t="n">
        <x:f>F17-TODAY()</x:f>
        <x:v>32</x:v>
      </x:c>
      <x:c r="H17" s="10" t="n">
        <x:f>G17/30</x:f>
        <x:v>1.0666666666666667</x:v>
      </x:c>
      <x:c r="I17" t="str">
        <x:f>IF(H17&lt;3,"Critical",IF(H17&lt;=6,"Watch",IF(H17&lt;=12,"Normal","Healthy")))</x:f>
        <x:v>Critical</x:v>
      </x:c>
      <x:c r="J17" s="11" t="n">
        <x:v>566</x:v>
      </x:c>
      <x:c r="K17" t="str">
        <x:v>Under Investigation</x:v>
      </x:c>
      <x:c r="L17" s="12" t="str">
        <x:f>IF(OR(K17="Rejected",K17="Under Investigation"),"Escalate Supply Review",IF(I17="Critical",IF(MOD(ROW(),2)=0,"Commercial Discount Candidate","Redistribution Required"),IF(I17="Watch",IF(MOD(ROW(),2)=0,"Allocate to Tender Opportunity","Prioritize Current Orders"),IF(I17="Normal","Prioritize Current Orders","Normal Earliest Expiry First Rotation"))))</x:f>
        <x:v>Escalate Supply Review</x:v>
      </x:c>
    </x:row>
    <x:row r="18">
      <x:c r="A18" t="str">
        <x:v>RX-ONC-500</x:v>
      </x:c>
      <x:c r="B18" t="str">
        <x:v>Product Beta</x:v>
      </x:c>
      <x:c r="C18" t="str">
        <x:v>Regional Warehouse B</x:v>
      </x:c>
      <x:c r="D18" t="str">
        <x:v>Refrigerated (2-8 C)</x:v>
      </x:c>
      <x:c r="E18" s="8" t="n">
        <x:v>45726</x:v>
      </x:c>
      <x:c r="F18" s="8" t="n">
        <x:v>46285</x:v>
      </x:c>
      <x:c r="G18" s="9" t="n">
        <x:f>F18-TODAY()</x:f>
        <x:v>94</x:v>
      </x:c>
      <x:c r="H18" s="10" t="n">
        <x:f>G18/30</x:f>
        <x:v>3.1333333333333333</x:v>
      </x:c>
      <x:c r="I18" t="str">
        <x:f>IF(H18&lt;3,"Critical",IF(H18&lt;=6,"Watch",IF(H18&lt;=12,"Normal","Healthy")))</x:f>
        <x:v>Watch</x:v>
      </x:c>
      <x:c r="J18" s="11" t="n">
        <x:v>644</x:v>
      </x:c>
      <x:c r="K18" t="str">
        <x:v>Quarantine</x:v>
      </x:c>
      <x:c r="L18" s="12" t="str">
        <x:f>IF(OR(K18="Rejected",K18="Under Investigation"),"Escalate Supply Review",IF(I18="Critical",IF(MOD(ROW(),2)=0,"Commercial Discount Candidate","Redistribution Required"),IF(I18="Watch",IF(MOD(ROW(),2)=0,"Allocate to Tender Opportunity","Prioritize Current Orders"),IF(I18="Normal","Prioritize Current Orders","Normal Earliest Expiry First Rotation"))))</x:f>
        <x:v>Allocate to Tender Opportunity</x:v>
      </x:c>
    </x:row>
    <x:row r="19">
      <x:c r="A19" t="str">
        <x:v>BIO-RA-200</x:v>
      </x:c>
      <x:c r="B19" t="str">
        <x:v>Product Gamma</x:v>
      </x:c>
      <x:c r="C19" t="str">
        <x:v>Central Warehouse C</x:v>
      </x:c>
      <x:c r="D19" t="str">
        <x:v>Refrigerated (2-8 C)</x:v>
      </x:c>
      <x:c r="E19" s="8" t="n">
        <x:v>45757</x:v>
      </x:c>
      <x:c r="F19" s="8" t="n">
        <x:v>46346</x:v>
      </x:c>
      <x:c r="G19" s="9" t="n">
        <x:f>F19-TODAY()</x:f>
        <x:v>155</x:v>
      </x:c>
      <x:c r="H19" s="10" t="n">
        <x:f>G19/30</x:f>
        <x:v>5.166666666666667</x:v>
      </x:c>
      <x:c r="I19" t="str">
        <x:f>IF(H19&lt;3,"Critical",IF(H19&lt;=6,"Watch",IF(H19&lt;=12,"Normal","Healthy")))</x:f>
        <x:v>Watch</x:v>
      </x:c>
      <x:c r="J19" s="11" t="n">
        <x:v>722</x:v>
      </x:c>
      <x:c r="K19" t="str">
        <x:v>Released for Sale</x:v>
      </x:c>
      <x:c r="L19" s="12" t="str">
        <x:f>IF(OR(K19="Rejected",K19="Under Investigation"),"Escalate Supply Review",IF(I19="Critical",IF(MOD(ROW(),2)=0,"Commercial Discount Candidate","Redistribution Required"),IF(I19="Watch",IF(MOD(ROW(),2)=0,"Allocate to Tender Opportunity","Prioritize Current Orders"),IF(I19="Normal","Prioritize Current Orders","Normal Earliest Expiry First Rotation"))))</x:f>
        <x:v>Prioritize Current Orders</x:v>
      </x:c>
    </x:row>
    <x:row r="20">
      <x:c r="A20" t="str">
        <x:v>RX-CARD-50</x:v>
      </x:c>
      <x:c r="B20" t="str">
        <x:v>Product Delta</x:v>
      </x:c>
      <x:c r="C20" t="str">
        <x:v>Quality Warehouse A</x:v>
      </x:c>
      <x:c r="D20" t="str">
        <x:v>Ambient</x:v>
      </x:c>
      <x:c r="E20" s="8" t="n">
        <x:v>45787</x:v>
      </x:c>
      <x:c r="F20" s="8" t="n">
        <x:v>46407</x:v>
      </x:c>
      <x:c r="G20" s="9" t="n">
        <x:f>F20-TODAY()</x:f>
        <x:v>216</x:v>
      </x:c>
      <x:c r="H20" s="10" t="n">
        <x:f>G20/30</x:f>
        <x:v>7.2</x:v>
      </x:c>
      <x:c r="I20" t="str">
        <x:f>IF(H20&lt;3,"Critical",IF(H20&lt;=6,"Watch",IF(H20&lt;=12,"Normal","Healthy")))</x:f>
        <x:v>Normal</x:v>
      </x:c>
      <x:c r="J20" s="11" t="n">
        <x:v>800</x:v>
      </x:c>
      <x:c r="K20" t="str">
        <x:v>Released for Sale</x:v>
      </x:c>
      <x:c r="L20" s="12" t="str">
        <x:f>IF(OR(K20="Rejected",K20="Under Investigation"),"Escalate Supply Review",IF(I20="Critical",IF(MOD(ROW(),2)=0,"Commercial Discount Candidate","Redistribution Required"),IF(I20="Watch",IF(MOD(ROW(),2)=0,"Allocate to Tender Opportunity","Prioritize Current Orders"),IF(I20="Normal","Prioritize Current Orders","Normal Earliest Expiry First Rotation"))))</x:f>
        <x:v>Prioritize Current Orders</x:v>
      </x:c>
    </x:row>
    <x:row r="21">
      <x:c r="A21" t="str">
        <x:v>RX-RARE-10</x:v>
      </x:c>
      <x:c r="B21" t="str">
        <x:v>Product Epsilon</x:v>
      </x:c>
      <x:c r="C21" t="str">
        <x:v>Central Warehouse A</x:v>
      </x:c>
      <x:c r="D21" t="str">
        <x:v>Refrigerated (2-8 C)</x:v>
      </x:c>
      <x:c r="E21" s="8" t="n">
        <x:v>45818</x:v>
      </x:c>
      <x:c r="F21" s="8" t="n">
        <x:v>46466</x:v>
      </x:c>
      <x:c r="G21" s="9" t="n">
        <x:f>F21-TODAY()</x:f>
        <x:v>275</x:v>
      </x:c>
      <x:c r="H21" s="10" t="n">
        <x:f>G21/30</x:f>
        <x:v>9.166666666666666</x:v>
      </x:c>
      <x:c r="I21" t="str">
        <x:f>IF(H21&lt;3,"Critical",IF(H21&lt;=6,"Watch",IF(H21&lt;=12,"Normal","Healthy")))</x:f>
        <x:v>Normal</x:v>
      </x:c>
      <x:c r="J21" s="11" t="n">
        <x:v>878</x:v>
      </x:c>
      <x:c r="K21" t="str">
        <x:v>Under Investigation</x:v>
      </x:c>
      <x:c r="L21" s="12" t="str">
        <x:f>IF(OR(K21="Rejected",K21="Under Investigation"),"Escalate Supply Review",IF(I21="Critical",IF(MOD(ROW(),2)=0,"Commercial Discount Candidate","Redistribution Required"),IF(I21="Watch",IF(MOD(ROW(),2)=0,"Allocate to Tender Opportunity","Prioritize Current Orders"),IF(I21="Normal","Prioritize Current Orders","Normal Earliest Expiry First Rotation"))))</x:f>
        <x:v>Escalate Supply Review</x:v>
      </x:c>
    </x:row>
    <x:row r="22">
      <x:c r="A22" t="str">
        <x:v>DX-COMP-01</x:v>
      </x:c>
      <x:c r="B22" t="str">
        <x:v>Product Zeta</x:v>
      </x:c>
      <x:c r="C22" t="str">
        <x:v>Central Warehouse B</x:v>
      </x:c>
      <x:c r="D22" t="str">
        <x:v>Ambient</x:v>
      </x:c>
      <x:c r="E22" s="8" t="n">
        <x:v>45848</x:v>
      </x:c>
      <x:c r="F22" s="8" t="n">
        <x:v>46527</x:v>
      </x:c>
      <x:c r="G22" s="9" t="n">
        <x:f>F22-TODAY()</x:f>
        <x:v>336</x:v>
      </x:c>
      <x:c r="H22" s="10" t="n">
        <x:f>G22/30</x:f>
        <x:v>11.2</x:v>
      </x:c>
      <x:c r="I22" t="str">
        <x:f>IF(H22&lt;3,"Critical",IF(H22&lt;=6,"Watch",IF(H22&lt;=12,"Normal","Healthy")))</x:f>
        <x:v>Normal</x:v>
      </x:c>
      <x:c r="J22" s="11" t="n">
        <x:v>956</x:v>
      </x:c>
      <x:c r="K22" t="str">
        <x:v>Quarantine</x:v>
      </x:c>
      <x:c r="L22" s="12" t="str">
        <x:f>IF(OR(K22="Rejected",K22="Under Investigation"),"Escalate Supply Review",IF(I22="Critical",IF(MOD(ROW(),2)=0,"Commercial Discount Candidate","Redistribution Required"),IF(I22="Watch",IF(MOD(ROW(),2)=0,"Allocate to Tender Opportunity","Prioritize Current Orders"),IF(I22="Normal","Prioritize Current Orders","Normal Earliest Expiry First Rotation"))))</x:f>
        <x:v>Prioritize Current Orders</x:v>
      </x:c>
    </x:row>
    <x:row r="23">
      <x:c r="A23" t="str">
        <x:v>RX-HOSP-20</x:v>
      </x:c>
      <x:c r="B23" t="str">
        <x:v>Product Eta</x:v>
      </x:c>
      <x:c r="C23" t="str">
        <x:v>Regional Warehouse B</x:v>
      </x:c>
      <x:c r="D23" t="str">
        <x:v>Ambient</x:v>
      </x:c>
      <x:c r="E23" s="8" t="n">
        <x:v>45879</x:v>
      </x:c>
      <x:c r="F23" s="8" t="n">
        <x:v>46588</x:v>
      </x:c>
      <x:c r="G23" s="9" t="n">
        <x:f>F23-TODAY()</x:f>
        <x:v>397</x:v>
      </x:c>
      <x:c r="H23" s="10" t="n">
        <x:f>G23/30</x:f>
        <x:v>13.233333333333333</x:v>
      </x:c>
      <x:c r="I23" t="str">
        <x:f>IF(H23&lt;3,"Critical",IF(H23&lt;=6,"Watch",IF(H23&lt;=12,"Normal","Healthy")))</x:f>
        <x:v>Healthy</x:v>
      </x:c>
      <x:c r="J23" s="11" t="n">
        <x:v>1034</x:v>
      </x:c>
      <x:c r="K23" t="str">
        <x:v>Released for Sale</x:v>
      </x:c>
      <x:c r="L23" s="12" t="str">
        <x:f>IF(OR(K23="Rejected",K23="Under Investigation"),"Escalate Supply Review",IF(I23="Critical",IF(MOD(ROW(),2)=0,"Commercial Discount Candidate","Redistribution Required"),IF(I23="Watch",IF(MOD(ROW(),2)=0,"Allocate to Tender Opportunity","Prioritize Current Orders"),IF(I23="Normal","Prioritize Current Orders","Normal Earliest Expiry First Rotation"))))</x:f>
        <x:v>Normal Earliest Expiry First Rotation</x:v>
      </x:c>
    </x:row>
    <x:row r="24">
      <x:c r="A24" t="str">
        <x:v>BIO-DERM-80</x:v>
      </x:c>
      <x:c r="B24" t="str">
        <x:v>Product Theta</x:v>
      </x:c>
      <x:c r="C24" t="str">
        <x:v>Central Warehouse C</x:v>
      </x:c>
      <x:c r="D24" t="str">
        <x:v>Refrigerated (2-8 C)</x:v>
      </x:c>
      <x:c r="E24" s="8" t="n">
        <x:v>45910</x:v>
      </x:c>
      <x:c r="F24" s="8" t="n">
        <x:v>46650</x:v>
      </x:c>
      <x:c r="G24" s="9" t="n">
        <x:f>F24-TODAY()</x:f>
        <x:v>459</x:v>
      </x:c>
      <x:c r="H24" s="10" t="n">
        <x:f>G24/30</x:f>
        <x:v>15.3</x:v>
      </x:c>
      <x:c r="I24" t="str">
        <x:f>IF(H24&lt;3,"Critical",IF(H24&lt;=6,"Watch",IF(H24&lt;=12,"Normal","Healthy")))</x:f>
        <x:v>Healthy</x:v>
      </x:c>
      <x:c r="J24" s="11" t="n">
        <x:v>1112</x:v>
      </x:c>
      <x:c r="K24" t="str">
        <x:v>Released for Sale</x:v>
      </x:c>
      <x:c r="L24" s="12" t="str">
        <x:f>IF(OR(K24="Rejected",K24="Under Investigation"),"Escalate Supply Review",IF(I24="Critical",IF(MOD(ROW(),2)=0,"Commercial Discount Candidate","Redistribution Required"),IF(I24="Watch",IF(MOD(ROW(),2)=0,"Allocate to Tender Opportunity","Prioritize Current Orders"),IF(I24="Normal","Prioritize Current Orders","Normal Earliest Expiry First Rotation"))))</x:f>
        <x:v>Normal Earliest Expiry First Rotation</x:v>
      </x:c>
    </x:row>
    <x:row r="25">
      <x:c r="A25" t="str">
        <x:v>RX-ONC-ORAL</x:v>
      </x:c>
      <x:c r="B25" t="str">
        <x:v>Product Iota</x:v>
      </x:c>
      <x:c r="C25" t="str">
        <x:v>Quality Warehouse A</x:v>
      </x:c>
      <x:c r="D25" t="str">
        <x:v>Ambient</x:v>
      </x:c>
      <x:c r="E25" s="8" t="n">
        <x:v>45940</x:v>
      </x:c>
      <x:c r="F25" s="8" t="n">
        <x:v>46711</x:v>
      </x:c>
      <x:c r="G25" s="9" t="n">
        <x:f>F25-TODAY()</x:f>
        <x:v>520</x:v>
      </x:c>
      <x:c r="H25" s="10" t="n">
        <x:f>G25/30</x:f>
        <x:v>17.333333333333332</x:v>
      </x:c>
      <x:c r="I25" t="str">
        <x:f>IF(H25&lt;3,"Critical",IF(H25&lt;=6,"Watch",IF(H25&lt;=12,"Normal","Healthy")))</x:f>
        <x:v>Healthy</x:v>
      </x:c>
      <x:c r="J25" s="11" t="n">
        <x:v>1190</x:v>
      </x:c>
      <x:c r="K25" t="str">
        <x:v>Under Investigation</x:v>
      </x:c>
      <x:c r="L25" s="12" t="str">
        <x:f>IF(OR(K25="Rejected",K25="Under Investigation"),"Escalate Supply Review",IF(I25="Critical",IF(MOD(ROW(),2)=0,"Commercial Discount Candidate","Redistribution Required"),IF(I25="Watch",IF(MOD(ROW(),2)=0,"Allocate to Tender Opportunity","Prioritize Current Orders"),IF(I25="Normal","Prioritize Current Orders","Normal Earliest Expiry First Rotation"))))</x:f>
        <x:v>Escalate Supply Review</x:v>
      </x:c>
    </x:row>
    <x:row r="26">
      <x:c r="A26" t="str">
        <x:v>RX-RARE-INF</x:v>
      </x:c>
      <x:c r="B26" t="str">
        <x:v>Product Kappa</x:v>
      </x:c>
      <x:c r="C26" t="str">
        <x:v>Central Warehouse A</x:v>
      </x:c>
      <x:c r="D26" t="str">
        <x:v>Refrigerated (2-8 C)</x:v>
      </x:c>
      <x:c r="E26" s="8" t="n">
        <x:v>45971</x:v>
      </x:c>
      <x:c r="F26" s="8" t="n">
        <x:v>46772</x:v>
      </x:c>
      <x:c r="G26" s="9" t="n">
        <x:f>F26-TODAY()</x:f>
        <x:v>581</x:v>
      </x:c>
      <x:c r="H26" s="10" t="n">
        <x:f>G26/30</x:f>
        <x:v>19.366666666666667</x:v>
      </x:c>
      <x:c r="I26" t="str">
        <x:f>IF(H26&lt;3,"Critical",IF(H26&lt;=6,"Watch",IF(H26&lt;=12,"Normal","Healthy")))</x:f>
        <x:v>Healthy</x:v>
      </x:c>
      <x:c r="J26" s="11" t="n">
        <x:v>1268</x:v>
      </x:c>
      <x:c r="K26" t="str">
        <x:v>Quarantine</x:v>
      </x:c>
      <x:c r="L26" s="12" t="str">
        <x:f>IF(OR(K26="Rejected",K26="Under Investigation"),"Escalate Supply Review",IF(I26="Critical",IF(MOD(ROW(),2)=0,"Commercial Discount Candidate","Redistribution Required"),IF(I26="Watch",IF(MOD(ROW(),2)=0,"Allocate to Tender Opportunity","Prioritize Current Orders"),IF(I26="Normal","Prioritize Current Orders","Normal Earliest Expiry First Rotation"))))</x:f>
        <x:v>Normal Earliest Expiry First Rotation</x:v>
      </x:c>
    </x:row>
    <x:row r="27">
      <x:c r="A27" t="str">
        <x:v>DX-GENE-02</x:v>
      </x:c>
      <x:c r="B27" t="str">
        <x:v>Product Lambda</x:v>
      </x:c>
      <x:c r="C27" t="str">
        <x:v>Central Warehouse B</x:v>
      </x:c>
      <x:c r="D27" t="str">
        <x:v>Ambient</x:v>
      </x:c>
      <x:c r="E27" s="8" t="n">
        <x:v>46001</x:v>
      </x:c>
      <x:c r="F27" s="8" t="n">
        <x:v>46832</x:v>
      </x:c>
      <x:c r="G27" s="9" t="n">
        <x:f>F27-TODAY()</x:f>
        <x:v>641</x:v>
      </x:c>
      <x:c r="H27" s="10" t="n">
        <x:f>G27/30</x:f>
        <x:v>21.366666666666667</x:v>
      </x:c>
      <x:c r="I27" t="str">
        <x:f>IF(H27&lt;3,"Critical",IF(H27&lt;=6,"Watch",IF(H27&lt;=12,"Normal","Healthy")))</x:f>
        <x:v>Healthy</x:v>
      </x:c>
      <x:c r="J27" s="11" t="n">
        <x:v>1346</x:v>
      </x:c>
      <x:c r="K27" t="str">
        <x:v>Released for Sale</x:v>
      </x:c>
      <x:c r="L27" s="12" t="str">
        <x:f>IF(OR(K27="Rejected",K27="Under Investigation"),"Escalate Supply Review",IF(I27="Critical",IF(MOD(ROW(),2)=0,"Commercial Discount Candidate","Redistribution Required"),IF(I27="Watch",IF(MOD(ROW(),2)=0,"Allocate to Tender Opportunity","Prioritize Current Orders"),IF(I27="Normal","Prioritize Current Orders","Normal Earliest Expiry First Rotation"))))</x:f>
        <x:v>Normal Earliest Expiry First Rotation</x:v>
      </x:c>
    </x:row>
    <x:row r="28">
      <x:c r="A28" t="str">
        <x:v>SVC-PAT-01</x:v>
      </x:c>
      <x:c r="B28" t="str">
        <x:v>Product Mu</x:v>
      </x:c>
      <x:c r="C28" t="str">
        <x:v>Regional Warehouse B</x:v>
      </x:c>
      <x:c r="D28" t="str">
        <x:v>Not Applicable</x:v>
      </x:c>
      <x:c r="E28" s="8" t="n">
        <x:v>45667</x:v>
      </x:c>
      <x:c r="F28" s="8" t="n">
        <x:v>46527</x:v>
      </x:c>
      <x:c r="G28" s="9" t="n">
        <x:f>F28-TODAY()</x:f>
        <x:v>336</x:v>
      </x:c>
      <x:c r="H28" s="10" t="n">
        <x:f>G28/30</x:f>
        <x:v>11.2</x:v>
      </x:c>
      <x:c r="I28" t="str">
        <x:f>IF(H28&lt;3,"Critical",IF(H28&lt;=6,"Watch",IF(H28&lt;=12,"Normal","Healthy")))</x:f>
        <x:v>Normal</x:v>
      </x:c>
      <x:c r="J28" s="11" t="n">
        <x:v>1424</x:v>
      </x:c>
      <x:c r="K28" t="str">
        <x:v>Released for Sale</x:v>
      </x:c>
      <x:c r="L28" s="12" t="str">
        <x:f>IF(OR(K28="Rejected",K28="Under Investigation"),"Escalate Supply Review",IF(I28="Critical",IF(MOD(ROW(),2)=0,"Commercial Discount Candidate","Redistribution Required"),IF(I28="Watch",IF(MOD(ROW(),2)=0,"Allocate to Tender Opportunity","Prioritize Current Orders"),IF(I28="Normal","Prioritize Current Orders","Normal Earliest Expiry First Rotation"))))</x:f>
        <x:v>Prioritize Current Orders</x:v>
      </x:c>
    </x:row>
    <x:row r="29">
      <x:c r="A29" t="str">
        <x:v>RX-ONC-100</x:v>
      </x:c>
      <x:c r="B29" t="str">
        <x:v>Product Alpha</x:v>
      </x:c>
      <x:c r="C29" t="str">
        <x:v>Regional Warehouse B</x:v>
      </x:c>
      <x:c r="D29" t="str">
        <x:v>Refrigerated (2-8 C)</x:v>
      </x:c>
      <x:c r="E29" s="8" t="n">
        <x:v>45726</x:v>
      </x:c>
      <x:c r="F29" s="8" t="n">
        <x:v>46315</x:v>
      </x:c>
      <x:c r="G29" s="9" t="n">
        <x:f>F29-TODAY()</x:f>
        <x:v>124</x:v>
      </x:c>
      <x:c r="H29" s="10" t="n">
        <x:f>G29/30</x:f>
        <x:v>4.133333333333334</x:v>
      </x:c>
      <x:c r="I29" t="str">
        <x:f>IF(H29&lt;3,"Critical",IF(H29&lt;=6,"Watch",IF(H29&lt;=12,"Normal","Healthy")))</x:f>
        <x:v>Watch</x:v>
      </x:c>
      <x:c r="J29" s="11" t="n">
        <x:v>657</x:v>
      </x:c>
      <x:c r="K29" t="str">
        <x:v>Quarantine</x:v>
      </x:c>
      <x:c r="L29" s="12" t="str">
        <x:f>IF(OR(K29="Rejected",K29="Under Investigation"),"Escalate Supply Review",IF(I29="Critical",IF(MOD(ROW(),2)=0,"Commercial Discount Candidate","Redistribution Required"),IF(I29="Watch",IF(MOD(ROW(),2)=0,"Allocate to Tender Opportunity","Prioritize Current Orders"),IF(I29="Normal","Prioritize Current Orders","Normal Earliest Expiry First Rotation"))))</x:f>
        <x:v>Prioritize Current Orders</x:v>
      </x:c>
    </x:row>
    <x:row r="30">
      <x:c r="A30" t="str">
        <x:v>RX-ONC-500</x:v>
      </x:c>
      <x:c r="B30" t="str">
        <x:v>Product Beta</x:v>
      </x:c>
      <x:c r="C30" t="str">
        <x:v>Central Warehouse C</x:v>
      </x:c>
      <x:c r="D30" t="str">
        <x:v>Refrigerated (2-8 C)</x:v>
      </x:c>
      <x:c r="E30" s="8" t="n">
        <x:v>45757</x:v>
      </x:c>
      <x:c r="F30" s="8" t="n">
        <x:v>46376</x:v>
      </x:c>
      <x:c r="G30" s="9" t="n">
        <x:f>F30-TODAY()</x:f>
        <x:v>185</x:v>
      </x:c>
      <x:c r="H30" s="10" t="n">
        <x:f>G30/30</x:f>
        <x:v>6.166666666666667</x:v>
      </x:c>
      <x:c r="I30" t="str">
        <x:f>IF(H30&lt;3,"Critical",IF(H30&lt;=6,"Watch",IF(H30&lt;=12,"Normal","Healthy")))</x:f>
        <x:v>Normal</x:v>
      </x:c>
      <x:c r="J30" s="11" t="n">
        <x:v>748</x:v>
      </x:c>
      <x:c r="K30" t="str">
        <x:v>Released for Sale</x:v>
      </x:c>
      <x:c r="L30" s="12" t="str">
        <x:f>IF(OR(K30="Rejected",K30="Under Investigation"),"Escalate Supply Review",IF(I30="Critical",IF(MOD(ROW(),2)=0,"Commercial Discount Candidate","Redistribution Required"),IF(I30="Watch",IF(MOD(ROW(),2)=0,"Allocate to Tender Opportunity","Prioritize Current Orders"),IF(I30="Normal","Prioritize Current Orders","Normal Earliest Expiry First Rotation"))))</x:f>
        <x:v>Prioritize Current Orders</x:v>
      </x:c>
    </x:row>
    <x:row r="31">
      <x:c r="A31" t="str">
        <x:v>BIO-RA-200</x:v>
      </x:c>
      <x:c r="B31" t="str">
        <x:v>Product Gamma</x:v>
      </x:c>
      <x:c r="C31" t="str">
        <x:v>Quality Warehouse A</x:v>
      </x:c>
      <x:c r="D31" t="str">
        <x:v>Refrigerated (2-8 C)</x:v>
      </x:c>
      <x:c r="E31" s="8" t="n">
        <x:v>45787</x:v>
      </x:c>
      <x:c r="F31" s="8" t="n">
        <x:v>46438</x:v>
      </x:c>
      <x:c r="G31" s="9" t="n">
        <x:f>F31-TODAY()</x:f>
        <x:v>247</x:v>
      </x:c>
      <x:c r="H31" s="10" t="n">
        <x:f>G31/30</x:f>
        <x:v>8.233333333333333</x:v>
      </x:c>
      <x:c r="I31" t="str">
        <x:f>IF(H31&lt;3,"Critical",IF(H31&lt;=6,"Watch",IF(H31&lt;=12,"Normal","Healthy")))</x:f>
        <x:v>Normal</x:v>
      </x:c>
      <x:c r="J31" s="11" t="n">
        <x:v>839</x:v>
      </x:c>
      <x:c r="K31" t="str">
        <x:v>Released for Sale</x:v>
      </x:c>
      <x:c r="L31" s="12" t="str">
        <x:f>IF(OR(K31="Rejected",K31="Under Investigation"),"Escalate Supply Review",IF(I31="Critical",IF(MOD(ROW(),2)=0,"Commercial Discount Candidate","Redistribution Required"),IF(I31="Watch",IF(MOD(ROW(),2)=0,"Allocate to Tender Opportunity","Prioritize Current Orders"),IF(I31="Normal","Prioritize Current Orders","Normal Earliest Expiry First Rotation"))))</x:f>
        <x:v>Prioritize Current Orders</x:v>
      </x:c>
    </x:row>
    <x:row r="32">
      <x:c r="A32" t="str">
        <x:v>RX-CARD-50</x:v>
      </x:c>
      <x:c r="B32" t="str">
        <x:v>Product Delta</x:v>
      </x:c>
      <x:c r="C32" t="str">
        <x:v>Central Warehouse A</x:v>
      </x:c>
      <x:c r="D32" t="str">
        <x:v>Ambient</x:v>
      </x:c>
      <x:c r="E32" s="8" t="n">
        <x:v>45818</x:v>
      </x:c>
      <x:c r="F32" s="8" t="n">
        <x:v>46497</x:v>
      </x:c>
      <x:c r="G32" s="9" t="n">
        <x:f>F32-TODAY()</x:f>
        <x:v>306</x:v>
      </x:c>
      <x:c r="H32" s="10" t="n">
        <x:f>G32/30</x:f>
        <x:v>10.2</x:v>
      </x:c>
      <x:c r="I32" t="str">
        <x:f>IF(H32&lt;3,"Critical",IF(H32&lt;=6,"Watch",IF(H32&lt;=12,"Normal","Healthy")))</x:f>
        <x:v>Normal</x:v>
      </x:c>
      <x:c r="J32" s="11" t="n">
        <x:v>930</x:v>
      </x:c>
      <x:c r="K32" t="str">
        <x:v>Under Investigation</x:v>
      </x:c>
      <x:c r="L32" s="12" t="str">
        <x:f>IF(OR(K32="Rejected",K32="Under Investigation"),"Escalate Supply Review",IF(I32="Critical",IF(MOD(ROW(),2)=0,"Commercial Discount Candidate","Redistribution Required"),IF(I32="Watch",IF(MOD(ROW(),2)=0,"Allocate to Tender Opportunity","Prioritize Current Orders"),IF(I32="Normal","Prioritize Current Orders","Normal Earliest Expiry First Rotation"))))</x:f>
        <x:v>Escalate Supply Review</x:v>
      </x:c>
    </x:row>
    <x:row r="33">
      <x:c r="A33" t="str">
        <x:v>RX-RARE-10</x:v>
      </x:c>
      <x:c r="B33" t="str">
        <x:v>Product Epsilon</x:v>
      </x:c>
      <x:c r="C33" t="str">
        <x:v>Central Warehouse B</x:v>
      </x:c>
      <x:c r="D33" t="str">
        <x:v>Refrigerated (2-8 C)</x:v>
      </x:c>
      <x:c r="E33" s="8" t="n">
        <x:v>45848</x:v>
      </x:c>
      <x:c r="F33" s="8" t="n">
        <x:v>46558</x:v>
      </x:c>
      <x:c r="G33" s="9" t="n">
        <x:f>F33-TODAY()</x:f>
        <x:v>367</x:v>
      </x:c>
      <x:c r="H33" s="10" t="n">
        <x:f>G33/30</x:f>
        <x:v>12.233333333333333</x:v>
      </x:c>
      <x:c r="I33" t="str">
        <x:f>IF(H33&lt;3,"Critical",IF(H33&lt;=6,"Watch",IF(H33&lt;=12,"Normal","Healthy")))</x:f>
        <x:v>Healthy</x:v>
      </x:c>
      <x:c r="J33" s="11" t="n">
        <x:v>1021</x:v>
      </x:c>
      <x:c r="K33" t="str">
        <x:v>Quarantine</x:v>
      </x:c>
      <x:c r="L33" s="12" t="str">
        <x:f>IF(OR(K33="Rejected",K33="Under Investigation"),"Escalate Supply Review",IF(I33="Critical",IF(MOD(ROW(),2)=0,"Commercial Discount Candidate","Redistribution Required"),IF(I33="Watch",IF(MOD(ROW(),2)=0,"Allocate to Tender Opportunity","Prioritize Current Orders"),IF(I33="Normal","Prioritize Current Orders","Normal Earliest Expiry First Rotation"))))</x:f>
        <x:v>Normal Earliest Expiry First Rotation</x:v>
      </x:c>
    </x:row>
    <x:row r="34">
      <x:c r="A34" t="str">
        <x:v>DX-COMP-01</x:v>
      </x:c>
      <x:c r="B34" t="str">
        <x:v>Product Zeta</x:v>
      </x:c>
      <x:c r="C34" t="str">
        <x:v>Regional Warehouse B</x:v>
      </x:c>
      <x:c r="D34" t="str">
        <x:v>Ambient</x:v>
      </x:c>
      <x:c r="E34" s="8" t="n">
        <x:v>45879</x:v>
      </x:c>
      <x:c r="F34" s="8" t="n">
        <x:v>46619</x:v>
      </x:c>
      <x:c r="G34" s="9" t="n">
        <x:f>F34-TODAY()</x:f>
        <x:v>428</x:v>
      </x:c>
      <x:c r="H34" s="10" t="n">
        <x:f>G34/30</x:f>
        <x:v>14.266666666666667</x:v>
      </x:c>
      <x:c r="I34" t="str">
        <x:f>IF(H34&lt;3,"Critical",IF(H34&lt;=6,"Watch",IF(H34&lt;=12,"Normal","Healthy")))</x:f>
        <x:v>Healthy</x:v>
      </x:c>
      <x:c r="J34" s="11" t="n">
        <x:v>1112</x:v>
      </x:c>
      <x:c r="K34" t="str">
        <x:v>Released for Sale</x:v>
      </x:c>
      <x:c r="L34" s="12" t="str">
        <x:f>IF(OR(K34="Rejected",K34="Under Investigation"),"Escalate Supply Review",IF(I34="Critical",IF(MOD(ROW(),2)=0,"Commercial Discount Candidate","Redistribution Required"),IF(I34="Watch",IF(MOD(ROW(),2)=0,"Allocate to Tender Opportunity","Prioritize Current Orders"),IF(I34="Normal","Prioritize Current Orders","Normal Earliest Expiry First Rotation"))))</x:f>
        <x:v>Normal Earliest Expiry First Rotation</x:v>
      </x:c>
    </x:row>
    <x:row r="35">
      <x:c r="A35" t="str">
        <x:v>RX-HOSP-20</x:v>
      </x:c>
      <x:c r="B35" t="str">
        <x:v>Product Eta</x:v>
      </x:c>
      <x:c r="C35" t="str">
        <x:v>Central Warehouse C</x:v>
      </x:c>
      <x:c r="D35" t="str">
        <x:v>Ambient</x:v>
      </x:c>
      <x:c r="E35" s="8" t="n">
        <x:v>45910</x:v>
      </x:c>
      <x:c r="F35" s="8" t="n">
        <x:v>46680</x:v>
      </x:c>
      <x:c r="G35" s="9" t="n">
        <x:f>F35-TODAY()</x:f>
        <x:v>489</x:v>
      </x:c>
      <x:c r="H35" s="10" t="n">
        <x:f>G35/30</x:f>
        <x:v>16.3</x:v>
      </x:c>
      <x:c r="I35" t="str">
        <x:f>IF(H35&lt;3,"Critical",IF(H35&lt;=6,"Watch",IF(H35&lt;=12,"Normal","Healthy")))</x:f>
        <x:v>Healthy</x:v>
      </x:c>
      <x:c r="J35" s="11" t="n">
        <x:v>1203</x:v>
      </x:c>
      <x:c r="K35" t="str">
        <x:v>Released for Sale</x:v>
      </x:c>
      <x:c r="L35" s="12" t="str">
        <x:f>IF(OR(K35="Rejected",K35="Under Investigation"),"Escalate Supply Review",IF(I35="Critical",IF(MOD(ROW(),2)=0,"Commercial Discount Candidate","Redistribution Required"),IF(I35="Watch",IF(MOD(ROW(),2)=0,"Allocate to Tender Opportunity","Prioritize Current Orders"),IF(I35="Normal","Prioritize Current Orders","Normal Earliest Expiry First Rotation"))))</x:f>
        <x:v>Normal Earliest Expiry First Rotation</x:v>
      </x:c>
    </x:row>
    <x:row r="36">
      <x:c r="A36" t="str">
        <x:v>BIO-DERM-80</x:v>
      </x:c>
      <x:c r="B36" t="str">
        <x:v>Product Theta</x:v>
      </x:c>
      <x:c r="C36" t="str">
        <x:v>Quality Warehouse A</x:v>
      </x:c>
      <x:c r="D36" t="str">
        <x:v>Refrigerated (2-8 C)</x:v>
      </x:c>
      <x:c r="E36" s="8" t="n">
        <x:v>45940</x:v>
      </x:c>
      <x:c r="F36" s="8" t="n">
        <x:v>46741</x:v>
      </x:c>
      <x:c r="G36" s="9" t="n">
        <x:f>F36-TODAY()</x:f>
        <x:v>550</x:v>
      </x:c>
      <x:c r="H36" s="10" t="n">
        <x:f>G36/30</x:f>
        <x:v>18.333333333333332</x:v>
      </x:c>
      <x:c r="I36" t="str">
        <x:f>IF(H36&lt;3,"Critical",IF(H36&lt;=6,"Watch",IF(H36&lt;=12,"Normal","Healthy")))</x:f>
        <x:v>Healthy</x:v>
      </x:c>
      <x:c r="J36" s="11" t="n">
        <x:v>1294</x:v>
      </x:c>
      <x:c r="K36" t="str">
        <x:v>Under Investigation</x:v>
      </x:c>
      <x:c r="L36" s="12" t="str">
        <x:f>IF(OR(K36="Rejected",K36="Under Investigation"),"Escalate Supply Review",IF(I36="Critical",IF(MOD(ROW(),2)=0,"Commercial Discount Candidate","Redistribution Required"),IF(I36="Watch",IF(MOD(ROW(),2)=0,"Allocate to Tender Opportunity","Prioritize Current Orders"),IF(I36="Normal","Prioritize Current Orders","Normal Earliest Expiry First Rotation"))))</x:f>
        <x:v>Escalate Supply Review</x:v>
      </x:c>
    </x:row>
    <x:row r="37">
      <x:c r="A37" t="str">
        <x:v>RX-ONC-ORAL</x:v>
      </x:c>
      <x:c r="B37" t="str">
        <x:v>Product Iota</x:v>
      </x:c>
      <x:c r="C37" t="str">
        <x:v>Central Warehouse A</x:v>
      </x:c>
      <x:c r="D37" t="str">
        <x:v>Ambient</x:v>
      </x:c>
      <x:c r="E37" s="8" t="n">
        <x:v>45971</x:v>
      </x:c>
      <x:c r="F37" s="8" t="n">
        <x:v>46803</x:v>
      </x:c>
      <x:c r="G37" s="9" t="n">
        <x:f>F37-TODAY()</x:f>
        <x:v>612</x:v>
      </x:c>
      <x:c r="H37" s="10" t="n">
        <x:f>G37/30</x:f>
        <x:v>20.4</x:v>
      </x:c>
      <x:c r="I37" t="str">
        <x:f>IF(H37&lt;3,"Critical",IF(H37&lt;=6,"Watch",IF(H37&lt;=12,"Normal","Healthy")))</x:f>
        <x:v>Healthy</x:v>
      </x:c>
      <x:c r="J37" s="11" t="n">
        <x:v>1385</x:v>
      </x:c>
      <x:c r="K37" t="str">
        <x:v>Quarantine</x:v>
      </x:c>
      <x:c r="L37" s="12" t="str">
        <x:f>IF(OR(K37="Rejected",K37="Under Investigation"),"Escalate Supply Review",IF(I37="Critical",IF(MOD(ROW(),2)=0,"Commercial Discount Candidate","Redistribution Required"),IF(I37="Watch",IF(MOD(ROW(),2)=0,"Allocate to Tender Opportunity","Prioritize Current Orders"),IF(I37="Normal","Prioritize Current Orders","Normal Earliest Expiry First Rotation"))))</x:f>
        <x:v>Normal Earliest Expiry First Rotation</x:v>
      </x:c>
    </x:row>
    <x:row r="38">
      <x:c r="A38" t="str">
        <x:v>RX-RARE-INF</x:v>
      </x:c>
      <x:c r="B38" t="str">
        <x:v>Product Kappa</x:v>
      </x:c>
      <x:c r="C38" t="str">
        <x:v>Central Warehouse B</x:v>
      </x:c>
      <x:c r="D38" t="str">
        <x:v>Refrigerated (2-8 C)</x:v>
      </x:c>
      <x:c r="E38" s="8" t="n">
        <x:v>46001</x:v>
      </x:c>
      <x:c r="F38" s="8" t="n">
        <x:v>46863</x:v>
      </x:c>
      <x:c r="G38" s="9" t="n">
        <x:f>F38-TODAY()</x:f>
        <x:v>672</x:v>
      </x:c>
      <x:c r="H38" s="10" t="n">
        <x:f>G38/30</x:f>
        <x:v>22.4</x:v>
      </x:c>
      <x:c r="I38" t="str">
        <x:f>IF(H38&lt;3,"Critical",IF(H38&lt;=6,"Watch",IF(H38&lt;=12,"Normal","Healthy")))</x:f>
        <x:v>Healthy</x:v>
      </x:c>
      <x:c r="J38" s="11" t="n">
        <x:v>1476</x:v>
      </x:c>
      <x:c r="K38" t="str">
        <x:v>Released for Sale</x:v>
      </x:c>
      <x:c r="L38" s="12" t="str">
        <x:f>IF(OR(K38="Rejected",K38="Under Investigation"),"Escalate Supply Review",IF(I38="Critical",IF(MOD(ROW(),2)=0,"Commercial Discount Candidate","Redistribution Required"),IF(I38="Watch",IF(MOD(ROW(),2)=0,"Allocate to Tender Opportunity","Prioritize Current Orders"),IF(I38="Normal","Prioritize Current Orders","Normal Earliest Expiry First Rotation"))))</x:f>
        <x:v>Normal Earliest Expiry First Rotation</x:v>
      </x:c>
    </x:row>
    <x:row r="39">
      <x:c r="A39" t="str">
        <x:v>DX-GENE-02</x:v>
      </x:c>
      <x:c r="B39" t="str">
        <x:v>Product Lambda</x:v>
      </x:c>
      <x:c r="C39" t="str">
        <x:v>Regional Warehouse B</x:v>
      </x:c>
      <x:c r="D39" t="str">
        <x:v>Ambient</x:v>
      </x:c>
      <x:c r="E39" s="8" t="n">
        <x:v>45667</x:v>
      </x:c>
      <x:c r="F39" s="8" t="n">
        <x:v>46558</x:v>
      </x:c>
      <x:c r="G39" s="9" t="n">
        <x:f>F39-TODAY()</x:f>
        <x:v>367</x:v>
      </x:c>
      <x:c r="H39" s="10" t="n">
        <x:f>G39/30</x:f>
        <x:v>12.233333333333333</x:v>
      </x:c>
      <x:c r="I39" t="str">
        <x:f>IF(H39&lt;3,"Critical",IF(H39&lt;=6,"Watch",IF(H39&lt;=12,"Normal","Healthy")))</x:f>
        <x:v>Healthy</x:v>
      </x:c>
      <x:c r="J39" s="11" t="n">
        <x:v>1567</x:v>
      </x:c>
      <x:c r="K39" t="str">
        <x:v>Released for Sale</x:v>
      </x:c>
      <x:c r="L39" s="12" t="str">
        <x:f>IF(OR(K39="Rejected",K39="Under Investigation"),"Escalate Supply Review",IF(I39="Critical",IF(MOD(ROW(),2)=0,"Commercial Discount Candidate","Redistribution Required"),IF(I39="Watch",IF(MOD(ROW(),2)=0,"Allocate to Tender Opportunity","Prioritize Current Orders"),IF(I39="Normal","Prioritize Current Orders","Normal Earliest Expiry First Rotation"))))</x:f>
        <x:v>Normal Earliest Expiry First Rotation</x:v>
      </x:c>
    </x:row>
    <x:row r="40">
      <x:c r="A40" t="str">
        <x:v>SVC-PAT-01</x:v>
      </x:c>
      <x:c r="B40" t="str">
        <x:v>Product Mu</x:v>
      </x:c>
      <x:c r="C40" t="str">
        <x:v>Central Warehouse C</x:v>
      </x:c>
      <x:c r="D40" t="str">
        <x:v>Not Applicable</x:v>
      </x:c>
      <x:c r="E40" s="8" t="n">
        <x:v>45698</x:v>
      </x:c>
      <x:c r="F40" s="8" t="n">
        <x:v>46619</x:v>
      </x:c>
      <x:c r="G40" s="9" t="n">
        <x:f>F40-TODAY()</x:f>
        <x:v>428</x:v>
      </x:c>
      <x:c r="H40" s="10" t="n">
        <x:f>G40/30</x:f>
        <x:v>14.266666666666667</x:v>
      </x:c>
      <x:c r="I40" t="str">
        <x:f>IF(H40&lt;3,"Critical",IF(H40&lt;=6,"Watch",IF(H40&lt;=12,"Normal","Healthy")))</x:f>
        <x:v>Healthy</x:v>
      </x:c>
      <x:c r="J40" s="11" t="n">
        <x:v>1658</x:v>
      </x:c>
      <x:c r="K40" t="str">
        <x:v>Under Investigation</x:v>
      </x:c>
      <x:c r="L40" s="12" t="str">
        <x:f>IF(OR(K40="Rejected",K40="Under Investigation"),"Escalate Supply Review",IF(I40="Critical",IF(MOD(ROW(),2)=0,"Commercial Discount Candidate","Redistribution Required"),IF(I40="Watch",IF(MOD(ROW(),2)=0,"Allocate to Tender Opportunity","Prioritize Current Orders"),IF(I40="Normal","Prioritize Current Orders","Normal Earliest Expiry First Rotation"))))</x:f>
        <x:v>Escalate Supply Review</x:v>
      </x:c>
    </x:row>
    <x:row r="41">
      <x:c r="A41" t="str">
        <x:v>RX-ONC-100</x:v>
      </x:c>
      <x:c r="B41" t="str">
        <x:v>Product Alpha</x:v>
      </x:c>
      <x:c r="C41" t="str">
        <x:v>Central Warehouse C</x:v>
      </x:c>
      <x:c r="D41" t="str">
        <x:v>Refrigerated (2-8 C)</x:v>
      </x:c>
      <x:c r="E41" s="8" t="n">
        <x:v>45757</x:v>
      </x:c>
      <x:c r="F41" s="8" t="n">
        <x:v>46407</x:v>
      </x:c>
      <x:c r="G41" s="9" t="n">
        <x:f>F41-TODAY()</x:f>
        <x:v>216</x:v>
      </x:c>
      <x:c r="H41" s="10" t="n">
        <x:f>G41/30</x:f>
        <x:v>7.2</x:v>
      </x:c>
      <x:c r="I41" t="str">
        <x:f>IF(H41&lt;3,"Critical",IF(H41&lt;=6,"Watch",IF(H41&lt;=12,"Normal","Healthy")))</x:f>
        <x:v>Normal</x:v>
      </x:c>
      <x:c r="J41" s="11" t="n">
        <x:v>748</x:v>
      </x:c>
      <x:c r="K41" t="str">
        <x:v>Rejected</x:v>
      </x:c>
      <x:c r="L41" s="12" t="str">
        <x:f>IF(OR(K41="Rejected",K41="Under Investigation"),"Escalate Supply Review",IF(I41="Critical",IF(MOD(ROW(),2)=0,"Commercial Discount Candidate","Redistribution Required"),IF(I41="Watch",IF(MOD(ROW(),2)=0,"Allocate to Tender Opportunity","Prioritize Current Orders"),IF(I41="Normal","Prioritize Current Orders","Normal Earliest Expiry First Rotation"))))</x:f>
        <x:v>Escalate Supply Review</x:v>
      </x:c>
    </x:row>
    <x:row r="42">
      <x:c r="A42" t="str">
        <x:v>RX-ONC-500</x:v>
      </x:c>
      <x:c r="B42" t="str">
        <x:v>Product Beta</x:v>
      </x:c>
      <x:c r="C42" t="str">
        <x:v>Quality Warehouse A</x:v>
      </x:c>
      <x:c r="D42" t="str">
        <x:v>Refrigerated (2-8 C)</x:v>
      </x:c>
      <x:c r="E42" s="8" t="n">
        <x:v>45787</x:v>
      </x:c>
      <x:c r="F42" s="8" t="n">
        <x:v>46466</x:v>
      </x:c>
      <x:c r="G42" s="9" t="n">
        <x:f>F42-TODAY()</x:f>
        <x:v>275</x:v>
      </x:c>
      <x:c r="H42" s="10" t="n">
        <x:f>G42/30</x:f>
        <x:v>9.166666666666666</x:v>
      </x:c>
      <x:c r="I42" t="str">
        <x:f>IF(H42&lt;3,"Critical",IF(H42&lt;=6,"Watch",IF(H42&lt;=12,"Normal","Healthy")))</x:f>
        <x:v>Normal</x:v>
      </x:c>
      <x:c r="J42" s="11" t="n">
        <x:v>852</x:v>
      </x:c>
      <x:c r="K42" t="str">
        <x:v>Released for Sale</x:v>
      </x:c>
      <x:c r="L42" s="12" t="str">
        <x:f>IF(OR(K42="Rejected",K42="Under Investigation"),"Escalate Supply Review",IF(I42="Critical",IF(MOD(ROW(),2)=0,"Commercial Discount Candidate","Redistribution Required"),IF(I42="Watch",IF(MOD(ROW(),2)=0,"Allocate to Tender Opportunity","Prioritize Current Orders"),IF(I42="Normal","Prioritize Current Orders","Normal Earliest Expiry First Rotation"))))</x:f>
        <x:v>Prioritize Current Orders</x:v>
      </x:c>
    </x:row>
    <x:row r="43">
      <x:c r="A43" t="str">
        <x:v>BIO-RA-200</x:v>
      </x:c>
      <x:c r="B43" t="str">
        <x:v>Product Gamma</x:v>
      </x:c>
      <x:c r="C43" t="str">
        <x:v>Central Warehouse A</x:v>
      </x:c>
      <x:c r="D43" t="str">
        <x:v>Refrigerated (2-8 C)</x:v>
      </x:c>
      <x:c r="E43" s="8" t="n">
        <x:v>45818</x:v>
      </x:c>
      <x:c r="F43" s="8" t="n">
        <x:v>46527</x:v>
      </x:c>
      <x:c r="G43" s="9" t="n">
        <x:f>F43-TODAY()</x:f>
        <x:v>336</x:v>
      </x:c>
      <x:c r="H43" s="10" t="n">
        <x:f>G43/30</x:f>
        <x:v>11.2</x:v>
      </x:c>
      <x:c r="I43" t="str">
        <x:f>IF(H43&lt;3,"Critical",IF(H43&lt;=6,"Watch",IF(H43&lt;=12,"Normal","Healthy")))</x:f>
        <x:v>Normal</x:v>
      </x:c>
      <x:c r="J43" s="11" t="n">
        <x:v>956</x:v>
      </x:c>
      <x:c r="K43" t="str">
        <x:v>Under Investigation</x:v>
      </x:c>
      <x:c r="L43" s="12" t="str">
        <x:f>IF(OR(K43="Rejected",K43="Under Investigation"),"Escalate Supply Review",IF(I43="Critical",IF(MOD(ROW(),2)=0,"Commercial Discount Candidate","Redistribution Required"),IF(I43="Watch",IF(MOD(ROW(),2)=0,"Allocate to Tender Opportunity","Prioritize Current Orders"),IF(I43="Normal","Prioritize Current Orders","Normal Earliest Expiry First Rotation"))))</x:f>
        <x:v>Escalate Supply Review</x:v>
      </x:c>
    </x:row>
    <x:row r="44">
      <x:c r="A44" t="str">
        <x:v>RX-CARD-50</x:v>
      </x:c>
      <x:c r="B44" t="str">
        <x:v>Product Delta</x:v>
      </x:c>
      <x:c r="C44" t="str">
        <x:v>Central Warehouse B</x:v>
      </x:c>
      <x:c r="D44" t="str">
        <x:v>Ambient</x:v>
      </x:c>
      <x:c r="E44" s="8" t="n">
        <x:v>45848</x:v>
      </x:c>
      <x:c r="F44" s="8" t="n">
        <x:v>46588</x:v>
      </x:c>
      <x:c r="G44" s="9" t="n">
        <x:f>F44-TODAY()</x:f>
        <x:v>397</x:v>
      </x:c>
      <x:c r="H44" s="10" t="n">
        <x:f>G44/30</x:f>
        <x:v>13.233333333333333</x:v>
      </x:c>
      <x:c r="I44" t="str">
        <x:f>IF(H44&lt;3,"Critical",IF(H44&lt;=6,"Watch",IF(H44&lt;=12,"Normal","Healthy")))</x:f>
        <x:v>Healthy</x:v>
      </x:c>
      <x:c r="J44" s="11" t="n">
        <x:v>1060</x:v>
      </x:c>
      <x:c r="K44" t="str">
        <x:v>Quarantine</x:v>
      </x:c>
      <x:c r="L44" s="12" t="str">
        <x:f>IF(OR(K44="Rejected",K44="Under Investigation"),"Escalate Supply Review",IF(I44="Critical",IF(MOD(ROW(),2)=0,"Commercial Discount Candidate","Redistribution Required"),IF(I44="Watch",IF(MOD(ROW(),2)=0,"Allocate to Tender Opportunity","Prioritize Current Orders"),IF(I44="Normal","Prioritize Current Orders","Normal Earliest Expiry First Rotation"))))</x:f>
        <x:v>Normal Earliest Expiry First Rotation</x:v>
      </x:c>
    </x:row>
    <x:row r="45">
      <x:c r="A45" t="str">
        <x:v>RX-RARE-10</x:v>
      </x:c>
      <x:c r="B45" t="str">
        <x:v>Product Epsilon</x:v>
      </x:c>
      <x:c r="C45" t="str">
        <x:v>Regional Warehouse B</x:v>
      </x:c>
      <x:c r="D45" t="str">
        <x:v>Refrigerated (2-8 C)</x:v>
      </x:c>
      <x:c r="E45" s="8" t="n">
        <x:v>45879</x:v>
      </x:c>
      <x:c r="F45" s="8" t="n">
        <x:v>46650</x:v>
      </x:c>
      <x:c r="G45" s="9" t="n">
        <x:f>F45-TODAY()</x:f>
        <x:v>459</x:v>
      </x:c>
      <x:c r="H45" s="10" t="n">
        <x:f>G45/30</x:f>
        <x:v>15.3</x:v>
      </x:c>
      <x:c r="I45" t="str">
        <x:f>IF(H45&lt;3,"Critical",IF(H45&lt;=6,"Watch",IF(H45&lt;=12,"Normal","Healthy")))</x:f>
        <x:v>Healthy</x:v>
      </x:c>
      <x:c r="J45" s="11" t="n">
        <x:v>1164</x:v>
      </x:c>
      <x:c r="K45" t="str">
        <x:v>Released for Sale</x:v>
      </x:c>
      <x:c r="L45" s="12" t="str">
        <x:f>IF(OR(K45="Rejected",K45="Under Investigation"),"Escalate Supply Review",IF(I45="Critical",IF(MOD(ROW(),2)=0,"Commercial Discount Candidate","Redistribution Required"),IF(I45="Watch",IF(MOD(ROW(),2)=0,"Allocate to Tender Opportunity","Prioritize Current Orders"),IF(I45="Normal","Prioritize Current Orders","Normal Earliest Expiry First Rotation"))))</x:f>
        <x:v>Normal Earliest Expiry First Rotation</x:v>
      </x:c>
    </x:row>
    <x:row r="46">
      <x:c r="A46" t="str">
        <x:v>DX-COMP-01</x:v>
      </x:c>
      <x:c r="B46" t="str">
        <x:v>Product Zeta</x:v>
      </x:c>
      <x:c r="C46" t="str">
        <x:v>Central Warehouse C</x:v>
      </x:c>
      <x:c r="D46" t="str">
        <x:v>Ambient</x:v>
      </x:c>
      <x:c r="E46" s="8" t="n">
        <x:v>45910</x:v>
      </x:c>
      <x:c r="F46" s="8" t="n">
        <x:v>46711</x:v>
      </x:c>
      <x:c r="G46" s="9" t="n">
        <x:f>F46-TODAY()</x:f>
        <x:v>520</x:v>
      </x:c>
      <x:c r="H46" s="10" t="n">
        <x:f>G46/30</x:f>
        <x:v>17.333333333333332</x:v>
      </x:c>
      <x:c r="I46" t="str">
        <x:f>IF(H46&lt;3,"Critical",IF(H46&lt;=6,"Watch",IF(H46&lt;=12,"Normal","Healthy")))</x:f>
        <x:v>Healthy</x:v>
      </x:c>
      <x:c r="J46" s="11" t="n">
        <x:v>1268</x:v>
      </x:c>
      <x:c r="K46" t="str">
        <x:v>Released for Sale</x:v>
      </x:c>
      <x:c r="L46" s="12" t="str">
        <x:f>IF(OR(K46="Rejected",K46="Under Investigation"),"Escalate Supply Review",IF(I46="Critical",IF(MOD(ROW(),2)=0,"Commercial Discount Candidate","Redistribution Required"),IF(I46="Watch",IF(MOD(ROW(),2)=0,"Allocate to Tender Opportunity","Prioritize Current Orders"),IF(I46="Normal","Prioritize Current Orders","Normal Earliest Expiry First Rotation"))))</x:f>
        <x:v>Normal Earliest Expiry First Rotation</x:v>
      </x:c>
    </x:row>
    <x:row r="47">
      <x:c r="A47" t="str">
        <x:v>RX-HOSP-20</x:v>
      </x:c>
      <x:c r="B47" t="str">
        <x:v>Product Eta</x:v>
      </x:c>
      <x:c r="C47" t="str">
        <x:v>Quality Warehouse A</x:v>
      </x:c>
      <x:c r="D47" t="str">
        <x:v>Ambient</x:v>
      </x:c>
      <x:c r="E47" s="8" t="n">
        <x:v>45940</x:v>
      </x:c>
      <x:c r="F47" s="8" t="n">
        <x:v>46772</x:v>
      </x:c>
      <x:c r="G47" s="9" t="n">
        <x:f>F47-TODAY()</x:f>
        <x:v>581</x:v>
      </x:c>
      <x:c r="H47" s="10" t="n">
        <x:f>G47/30</x:f>
        <x:v>19.366666666666667</x:v>
      </x:c>
      <x:c r="I47" t="str">
        <x:f>IF(H47&lt;3,"Critical",IF(H47&lt;=6,"Watch",IF(H47&lt;=12,"Normal","Healthy")))</x:f>
        <x:v>Healthy</x:v>
      </x:c>
      <x:c r="J47" s="11" t="n">
        <x:v>1372</x:v>
      </x:c>
      <x:c r="K47" t="str">
        <x:v>Under Investigation</x:v>
      </x:c>
      <x:c r="L47" s="12" t="str">
        <x:f>IF(OR(K47="Rejected",K47="Under Investigation"),"Escalate Supply Review",IF(I47="Critical",IF(MOD(ROW(),2)=0,"Commercial Discount Candidate","Redistribution Required"),IF(I47="Watch",IF(MOD(ROW(),2)=0,"Allocate to Tender Opportunity","Prioritize Current Orders"),IF(I47="Normal","Prioritize Current Orders","Normal Earliest Expiry First Rotation"))))</x:f>
        <x:v>Escalate Supply Review</x:v>
      </x:c>
    </x:row>
    <x:row r="48">
      <x:c r="A48" t="str">
        <x:v>BIO-DERM-80</x:v>
      </x:c>
      <x:c r="B48" t="str">
        <x:v>Product Theta</x:v>
      </x:c>
      <x:c r="C48" t="str">
        <x:v>Central Warehouse A</x:v>
      </x:c>
      <x:c r="D48" t="str">
        <x:v>Refrigerated (2-8 C)</x:v>
      </x:c>
      <x:c r="E48" s="8" t="n">
        <x:v>45971</x:v>
      </x:c>
      <x:c r="F48" s="8" t="n">
        <x:v>46832</x:v>
      </x:c>
      <x:c r="G48" s="9" t="n">
        <x:f>F48-TODAY()</x:f>
        <x:v>641</x:v>
      </x:c>
      <x:c r="H48" s="10" t="n">
        <x:f>G48/30</x:f>
        <x:v>21.366666666666667</x:v>
      </x:c>
      <x:c r="I48" t="str">
        <x:f>IF(H48&lt;3,"Critical",IF(H48&lt;=6,"Watch",IF(H48&lt;=12,"Normal","Healthy")))</x:f>
        <x:v>Healthy</x:v>
      </x:c>
      <x:c r="J48" s="11" t="n">
        <x:v>1476</x:v>
      </x:c>
      <x:c r="K48" t="str">
        <x:v>Quarantine</x:v>
      </x:c>
      <x:c r="L48" s="12" t="str">
        <x:f>IF(OR(K48="Rejected",K48="Under Investigation"),"Escalate Supply Review",IF(I48="Critical",IF(MOD(ROW(),2)=0,"Commercial Discount Candidate","Redistribution Required"),IF(I48="Watch",IF(MOD(ROW(),2)=0,"Allocate to Tender Opportunity","Prioritize Current Orders"),IF(I48="Normal","Prioritize Current Orders","Normal Earliest Expiry First Rotation"))))</x:f>
        <x:v>Normal Earliest Expiry First Rotation</x:v>
      </x:c>
    </x:row>
    <x:row r="49">
      <x:c r="A49" t="str">
        <x:v>RX-ONC-ORAL</x:v>
      </x:c>
      <x:c r="B49" t="str">
        <x:v>Product Iota</x:v>
      </x:c>
      <x:c r="C49" t="str">
        <x:v>Central Warehouse B</x:v>
      </x:c>
      <x:c r="D49" t="str">
        <x:v>Ambient</x:v>
      </x:c>
      <x:c r="E49" s="8" t="n">
        <x:v>46001</x:v>
      </x:c>
      <x:c r="F49" s="8" t="n">
        <x:v>46893</x:v>
      </x:c>
      <x:c r="G49" s="9" t="n">
        <x:f>F49-TODAY()</x:f>
        <x:v>702</x:v>
      </x:c>
      <x:c r="H49" s="10" t="n">
        <x:f>G49/30</x:f>
        <x:v>23.4</x:v>
      </x:c>
      <x:c r="I49" t="str">
        <x:f>IF(H49&lt;3,"Critical",IF(H49&lt;=6,"Watch",IF(H49&lt;=12,"Normal","Healthy")))</x:f>
        <x:v>Healthy</x:v>
      </x:c>
      <x:c r="J49" s="11" t="n">
        <x:v>1580</x:v>
      </x:c>
      <x:c r="K49" t="str">
        <x:v>Released for Sale</x:v>
      </x:c>
      <x:c r="L49" s="12" t="str">
        <x:f>IF(OR(K49="Rejected",K49="Under Investigation"),"Escalate Supply Review",IF(I49="Critical",IF(MOD(ROW(),2)=0,"Commercial Discount Candidate","Redistribution Required"),IF(I49="Watch",IF(MOD(ROW(),2)=0,"Allocate to Tender Opportunity","Prioritize Current Orders"),IF(I49="Normal","Prioritize Current Orders","Normal Earliest Expiry First Rotation"))))</x:f>
        <x:v>Normal Earliest Expiry First Rotation</x:v>
      </x:c>
    </x:row>
    <x:row r="50">
      <x:c r="A50" t="str">
        <x:v>RX-RARE-INF</x:v>
      </x:c>
      <x:c r="B50" t="str">
        <x:v>Product Kappa</x:v>
      </x:c>
      <x:c r="C50" t="str">
        <x:v>Regional Warehouse B</x:v>
      </x:c>
      <x:c r="D50" t="str">
        <x:v>Refrigerated (2-8 C)</x:v>
      </x:c>
      <x:c r="E50" s="8" t="n">
        <x:v>45667</x:v>
      </x:c>
      <x:c r="F50" s="8" t="n">
        <x:v>46588</x:v>
      </x:c>
      <x:c r="G50" s="9" t="n">
        <x:f>F50-TODAY()</x:f>
        <x:v>397</x:v>
      </x:c>
      <x:c r="H50" s="10" t="n">
        <x:f>G50/30</x:f>
        <x:v>13.233333333333333</x:v>
      </x:c>
      <x:c r="I50" t="str">
        <x:f>IF(H50&lt;3,"Critical",IF(H50&lt;=6,"Watch",IF(H50&lt;=12,"Normal","Healthy")))</x:f>
        <x:v>Healthy</x:v>
      </x:c>
      <x:c r="J50" s="11" t="n">
        <x:v>1684</x:v>
      </x:c>
      <x:c r="K50" t="str">
        <x:v>Released for Sale</x:v>
      </x:c>
      <x:c r="L50" s="12" t="str">
        <x:f>IF(OR(K50="Rejected",K50="Under Investigation"),"Escalate Supply Review",IF(I50="Critical",IF(MOD(ROW(),2)=0,"Commercial Discount Candidate","Redistribution Required"),IF(I50="Watch",IF(MOD(ROW(),2)=0,"Allocate to Tender Opportunity","Prioritize Current Orders"),IF(I50="Normal","Prioritize Current Orders","Normal Earliest Expiry First Rotation"))))</x:f>
        <x:v>Normal Earliest Expiry First Rotation</x:v>
      </x:c>
    </x:row>
    <x:row r="51">
      <x:c r="A51" t="str">
        <x:v>DX-GENE-02</x:v>
      </x:c>
      <x:c r="B51" t="str">
        <x:v>Product Lambda</x:v>
      </x:c>
      <x:c r="C51" t="str">
        <x:v>Central Warehouse C</x:v>
      </x:c>
      <x:c r="D51" t="str">
        <x:v>Ambient</x:v>
      </x:c>
      <x:c r="E51" s="8" t="n">
        <x:v>45698</x:v>
      </x:c>
      <x:c r="F51" s="8" t="n">
        <x:v>46650</x:v>
      </x:c>
      <x:c r="G51" s="9" t="n">
        <x:f>F51-TODAY()</x:f>
        <x:v>459</x:v>
      </x:c>
      <x:c r="H51" s="10" t="n">
        <x:f>G51/30</x:f>
        <x:v>15.3</x:v>
      </x:c>
      <x:c r="I51" t="str">
        <x:f>IF(H51&lt;3,"Critical",IF(H51&lt;=6,"Watch",IF(H51&lt;=12,"Normal","Healthy")))</x:f>
        <x:v>Healthy</x:v>
      </x:c>
      <x:c r="J51" s="11" t="n">
        <x:v>1788</x:v>
      </x:c>
      <x:c r="K51" t="str">
        <x:v>Under Investigation</x:v>
      </x:c>
      <x:c r="L51" s="12" t="str">
        <x:f>IF(OR(K51="Rejected",K51="Under Investigation"),"Escalate Supply Review",IF(I51="Critical",IF(MOD(ROW(),2)=0,"Commercial Discount Candidate","Redistribution Required"),IF(I51="Watch",IF(MOD(ROW(),2)=0,"Allocate to Tender Opportunity","Prioritize Current Orders"),IF(I51="Normal","Prioritize Current Orders","Normal Earliest Expiry First Rotation"))))</x:f>
        <x:v>Escalate Supply Review</x:v>
      </x:c>
    </x:row>
    <x:row r="52">
      <x:c r="A52" t="str">
        <x:v>SVC-PAT-01</x:v>
      </x:c>
      <x:c r="B52" t="str">
        <x:v>Product Mu</x:v>
      </x:c>
      <x:c r="C52" t="str">
        <x:v>Quality Warehouse A</x:v>
      </x:c>
      <x:c r="D52" t="str">
        <x:v>Not Applicable</x:v>
      </x:c>
      <x:c r="E52" s="8" t="n">
        <x:v>45726</x:v>
      </x:c>
      <x:c r="F52" s="8" t="n">
        <x:v>46711</x:v>
      </x:c>
      <x:c r="G52" s="9" t="n">
        <x:f>F52-TODAY()</x:f>
        <x:v>520</x:v>
      </x:c>
      <x:c r="H52" s="10" t="n">
        <x:f>G52/30</x:f>
        <x:v>17.333333333333332</x:v>
      </x:c>
      <x:c r="I52" t="str">
        <x:f>IF(H52&lt;3,"Critical",IF(H52&lt;=6,"Watch",IF(H52&lt;=12,"Normal","Healthy")))</x:f>
        <x:v>Healthy</x:v>
      </x:c>
      <x:c r="J52" s="11" t="n">
        <x:v>92</x:v>
      </x:c>
      <x:c r="K52" t="str">
        <x:v>Quarantine</x:v>
      </x:c>
      <x:c r="L52" s="12" t="str">
        <x:f>IF(OR(K52="Rejected",K52="Under Investigation"),"Escalate Supply Review",IF(I52="Critical",IF(MOD(ROW(),2)=0,"Commercial Discount Candidate","Redistribution Required"),IF(I52="Watch",IF(MOD(ROW(),2)=0,"Allocate to Tender Opportunity","Prioritize Current Orders"),IF(I52="Normal","Prioritize Current Orders","Normal Earliest Expiry First Rotation"))))</x:f>
        <x:v>Normal Earliest Expiry First Rotation</x:v>
      </x:c>
    </x:row>
    <x:row r="53">
      <x:c r="A53" t="str">
        <x:v>RX-ONC-100</x:v>
      </x:c>
      <x:c r="B53" t="str">
        <x:v>Product Alpha</x:v>
      </x:c>
      <x:c r="C53" t="str">
        <x:v>Quality Warehouse A</x:v>
      </x:c>
      <x:c r="D53" t="str">
        <x:v>Refrigerated (2-8 C)</x:v>
      </x:c>
      <x:c r="E53" s="8" t="n">
        <x:v>45787</x:v>
      </x:c>
      <x:c r="F53" s="8" t="n">
        <x:v>46497</x:v>
      </x:c>
      <x:c r="G53" s="9" t="n">
        <x:f>F53-TODAY()</x:f>
        <x:v>306</x:v>
      </x:c>
      <x:c r="H53" s="10" t="n">
        <x:f>G53/30</x:f>
        <x:v>10.2</x:v>
      </x:c>
      <x:c r="I53" t="str">
        <x:f>IF(H53&lt;3,"Critical",IF(H53&lt;=6,"Watch",IF(H53&lt;=12,"Normal","Healthy")))</x:f>
        <x:v>Normal</x:v>
      </x:c>
      <x:c r="J53" s="11" t="n">
        <x:v>839</x:v>
      </x:c>
      <x:c r="K53" t="str">
        <x:v>Released for Sale</x:v>
      </x:c>
      <x:c r="L53" s="12" t="str">
        <x:f>IF(OR(K53="Rejected",K53="Under Investigation"),"Escalate Supply Review",IF(I53="Critical",IF(MOD(ROW(),2)=0,"Commercial Discount Candidate","Redistribution Required"),IF(I53="Watch",IF(MOD(ROW(),2)=0,"Allocate to Tender Opportunity","Prioritize Current Orders"),IF(I53="Normal","Prioritize Current Orders","Normal Earliest Expiry First Rotation"))))</x:f>
        <x:v>Prioritize Current Orders</x:v>
      </x:c>
    </x:row>
    <x:row r="54">
      <x:c r="A54" t="str">
        <x:v>RX-ONC-500</x:v>
      </x:c>
      <x:c r="B54" t="str">
        <x:v>Product Beta</x:v>
      </x:c>
      <x:c r="C54" t="str">
        <x:v>Central Warehouse A</x:v>
      </x:c>
      <x:c r="D54" t="str">
        <x:v>Refrigerated (2-8 C)</x:v>
      </x:c>
      <x:c r="E54" s="8" t="n">
        <x:v>45818</x:v>
      </x:c>
      <x:c r="F54" s="8" t="n">
        <x:v>46558</x:v>
      </x:c>
      <x:c r="G54" s="9" t="n">
        <x:f>F54-TODAY()</x:f>
        <x:v>367</x:v>
      </x:c>
      <x:c r="H54" s="10" t="n">
        <x:f>G54/30</x:f>
        <x:v>12.233333333333333</x:v>
      </x:c>
      <x:c r="I54" t="str">
        <x:f>IF(H54&lt;3,"Critical",IF(H54&lt;=6,"Watch",IF(H54&lt;=12,"Normal","Healthy")))</x:f>
        <x:v>Healthy</x:v>
      </x:c>
      <x:c r="J54" s="11" t="n">
        <x:v>956</x:v>
      </x:c>
      <x:c r="K54" t="str">
        <x:v>Under Investigation</x:v>
      </x:c>
      <x:c r="L54" s="12" t="str">
        <x:f>IF(OR(K54="Rejected",K54="Under Investigation"),"Escalate Supply Review",IF(I54="Critical",IF(MOD(ROW(),2)=0,"Commercial Discount Candidate","Redistribution Required"),IF(I54="Watch",IF(MOD(ROW(),2)=0,"Allocate to Tender Opportunity","Prioritize Current Orders"),IF(I54="Normal","Prioritize Current Orders","Normal Earliest Expiry First Rotation"))))</x:f>
        <x:v>Escalate Supply Review</x:v>
      </x:c>
    </x:row>
    <x:row r="55">
      <x:c r="A55" t="str">
        <x:v>BIO-RA-200</x:v>
      </x:c>
      <x:c r="B55" t="str">
        <x:v>Product Gamma</x:v>
      </x:c>
      <x:c r="C55" t="str">
        <x:v>Central Warehouse B</x:v>
      </x:c>
      <x:c r="D55" t="str">
        <x:v>Refrigerated (2-8 C)</x:v>
      </x:c>
      <x:c r="E55" s="8" t="n">
        <x:v>45848</x:v>
      </x:c>
      <x:c r="F55" s="8" t="n">
        <x:v>46619</x:v>
      </x:c>
      <x:c r="G55" s="9" t="n">
        <x:f>F55-TODAY()</x:f>
        <x:v>428</x:v>
      </x:c>
      <x:c r="H55" s="10" t="n">
        <x:f>G55/30</x:f>
        <x:v>14.266666666666667</x:v>
      </x:c>
      <x:c r="I55" t="str">
        <x:f>IF(H55&lt;3,"Critical",IF(H55&lt;=6,"Watch",IF(H55&lt;=12,"Normal","Healthy")))</x:f>
        <x:v>Healthy</x:v>
      </x:c>
      <x:c r="J55" s="11" t="n">
        <x:v>1073</x:v>
      </x:c>
      <x:c r="K55" t="str">
        <x:v>Quarantine</x:v>
      </x:c>
      <x:c r="L55" s="12" t="str">
        <x:f>IF(OR(K55="Rejected",K55="Under Investigation"),"Escalate Supply Review",IF(I55="Critical",IF(MOD(ROW(),2)=0,"Commercial Discount Candidate","Redistribution Required"),IF(I55="Watch",IF(MOD(ROW(),2)=0,"Allocate to Tender Opportunity","Prioritize Current Orders"),IF(I55="Normal","Prioritize Current Orders","Normal Earliest Expiry First Rotation"))))</x:f>
        <x:v>Normal Earliest Expiry First Rotation</x:v>
      </x:c>
    </x:row>
    <x:row r="56">
      <x:c r="A56" t="str">
        <x:v>RX-CARD-50</x:v>
      </x:c>
      <x:c r="B56" t="str">
        <x:v>Product Delta</x:v>
      </x:c>
      <x:c r="C56" t="str">
        <x:v>Regional Warehouse B</x:v>
      </x:c>
      <x:c r="D56" t="str">
        <x:v>Ambient</x:v>
      </x:c>
      <x:c r="E56" s="8" t="n">
        <x:v>45879</x:v>
      </x:c>
      <x:c r="F56" s="8" t="n">
        <x:v>46680</x:v>
      </x:c>
      <x:c r="G56" s="9" t="n">
        <x:f>F56-TODAY()</x:f>
        <x:v>489</x:v>
      </x:c>
      <x:c r="H56" s="10" t="n">
        <x:f>G56/30</x:f>
        <x:v>16.3</x:v>
      </x:c>
      <x:c r="I56" t="str">
        <x:f>IF(H56&lt;3,"Critical",IF(H56&lt;=6,"Watch",IF(H56&lt;=12,"Normal","Healthy")))</x:f>
        <x:v>Healthy</x:v>
      </x:c>
      <x:c r="J56" s="11" t="n">
        <x:v>1190</x:v>
      </x:c>
      <x:c r="K56" t="str">
        <x:v>Released for Sale</x:v>
      </x:c>
      <x:c r="L56" s="12" t="str">
        <x:f>IF(OR(K56="Rejected",K56="Under Investigation"),"Escalate Supply Review",IF(I56="Critical",IF(MOD(ROW(),2)=0,"Commercial Discount Candidate","Redistribution Required"),IF(I56="Watch",IF(MOD(ROW(),2)=0,"Allocate to Tender Opportunity","Prioritize Current Orders"),IF(I56="Normal","Prioritize Current Orders","Normal Earliest Expiry First Rotation"))))</x:f>
        <x:v>Normal Earliest Expiry First Rotation</x:v>
      </x:c>
    </x:row>
    <x:row r="57">
      <x:c r="A57" t="str">
        <x:v>RX-RARE-10</x:v>
      </x:c>
      <x:c r="B57" t="str">
        <x:v>Product Epsilon</x:v>
      </x:c>
      <x:c r="C57" t="str">
        <x:v>Central Warehouse C</x:v>
      </x:c>
      <x:c r="D57" t="str">
        <x:v>Refrigerated (2-8 C)</x:v>
      </x:c>
      <x:c r="E57" s="8" t="n">
        <x:v>45910</x:v>
      </x:c>
      <x:c r="F57" s="8" t="n">
        <x:v>46741</x:v>
      </x:c>
      <x:c r="G57" s="9" t="n">
        <x:f>F57-TODAY()</x:f>
        <x:v>550</x:v>
      </x:c>
      <x:c r="H57" s="10" t="n">
        <x:f>G57/30</x:f>
        <x:v>18.333333333333332</x:v>
      </x:c>
      <x:c r="I57" t="str">
        <x:f>IF(H57&lt;3,"Critical",IF(H57&lt;=6,"Watch",IF(H57&lt;=12,"Normal","Healthy")))</x:f>
        <x:v>Healthy</x:v>
      </x:c>
      <x:c r="J57" s="11" t="n">
        <x:v>1307</x:v>
      </x:c>
      <x:c r="K57" t="str">
        <x:v>Released for Sale</x:v>
      </x:c>
      <x:c r="L57" s="12" t="str">
        <x:f>IF(OR(K57="Rejected",K57="Under Investigation"),"Escalate Supply Review",IF(I57="Critical",IF(MOD(ROW(),2)=0,"Commercial Discount Candidate","Redistribution Required"),IF(I57="Watch",IF(MOD(ROW(),2)=0,"Allocate to Tender Opportunity","Prioritize Current Orders"),IF(I57="Normal","Prioritize Current Orders","Normal Earliest Expiry First Rotation"))))</x:f>
        <x:v>Normal Earliest Expiry First Rotation</x:v>
      </x:c>
    </x:row>
    <x:row r="58">
      <x:c r="A58" t="str">
        <x:v>DX-COMP-01</x:v>
      </x:c>
      <x:c r="B58" t="str">
        <x:v>Product Zeta</x:v>
      </x:c>
      <x:c r="C58" t="str">
        <x:v>Quality Warehouse A</x:v>
      </x:c>
      <x:c r="D58" t="str">
        <x:v>Ambient</x:v>
      </x:c>
      <x:c r="E58" s="8" t="n">
        <x:v>45940</x:v>
      </x:c>
      <x:c r="F58" s="8" t="n">
        <x:v>46803</x:v>
      </x:c>
      <x:c r="G58" s="9" t="n">
        <x:f>F58-TODAY()</x:f>
        <x:v>612</x:v>
      </x:c>
      <x:c r="H58" s="10" t="n">
        <x:f>G58/30</x:f>
        <x:v>20.4</x:v>
      </x:c>
      <x:c r="I58" t="str">
        <x:f>IF(H58&lt;3,"Critical",IF(H58&lt;=6,"Watch",IF(H58&lt;=12,"Normal","Healthy")))</x:f>
        <x:v>Healthy</x:v>
      </x:c>
      <x:c r="J58" s="11" t="n">
        <x:v>1424</x:v>
      </x:c>
      <x:c r="K58" t="str">
        <x:v>Under Investigation</x:v>
      </x:c>
      <x:c r="L58" s="12" t="str">
        <x:f>IF(OR(K58="Rejected",K58="Under Investigation"),"Escalate Supply Review",IF(I58="Critical",IF(MOD(ROW(),2)=0,"Commercial Discount Candidate","Redistribution Required"),IF(I58="Watch",IF(MOD(ROW(),2)=0,"Allocate to Tender Opportunity","Prioritize Current Orders"),IF(I58="Normal","Prioritize Current Orders","Normal Earliest Expiry First Rotation"))))</x:f>
        <x:v>Escalate Supply Review</x:v>
      </x:c>
    </x:row>
    <x:row r="59">
      <x:c r="A59" t="str">
        <x:v>RX-HOSP-20</x:v>
      </x:c>
      <x:c r="B59" t="str">
        <x:v>Product Eta</x:v>
      </x:c>
      <x:c r="C59" t="str">
        <x:v>Central Warehouse A</x:v>
      </x:c>
      <x:c r="D59" t="str">
        <x:v>Ambient</x:v>
      </x:c>
      <x:c r="E59" s="8" t="n">
        <x:v>45971</x:v>
      </x:c>
      <x:c r="F59" s="8" t="n">
        <x:v>46863</x:v>
      </x:c>
      <x:c r="G59" s="9" t="n">
        <x:f>F59-TODAY()</x:f>
        <x:v>672</x:v>
      </x:c>
      <x:c r="H59" s="10" t="n">
        <x:f>G59/30</x:f>
        <x:v>22.4</x:v>
      </x:c>
      <x:c r="I59" t="str">
        <x:f>IF(H59&lt;3,"Critical",IF(H59&lt;=6,"Watch",IF(H59&lt;=12,"Normal","Healthy")))</x:f>
        <x:v>Healthy</x:v>
      </x:c>
      <x:c r="J59" s="11" t="n">
        <x:v>1541</x:v>
      </x:c>
      <x:c r="K59" t="str">
        <x:v>Quarantine</x:v>
      </x:c>
      <x:c r="L59" s="12" t="str">
        <x:f>IF(OR(K59="Rejected",K59="Under Investigation"),"Escalate Supply Review",IF(I59="Critical",IF(MOD(ROW(),2)=0,"Commercial Discount Candidate","Redistribution Required"),IF(I59="Watch",IF(MOD(ROW(),2)=0,"Allocate to Tender Opportunity","Prioritize Current Orders"),IF(I59="Normal","Prioritize Current Orders","Normal Earliest Expiry First Rotation"))))</x:f>
        <x:v>Normal Earliest Expiry First Rotation</x:v>
      </x:c>
    </x:row>
    <x:row r="60">
      <x:c r="A60" t="str">
        <x:v>BIO-DERM-80</x:v>
      </x:c>
      <x:c r="B60" t="str">
        <x:v>Product Theta</x:v>
      </x:c>
      <x:c r="C60" t="str">
        <x:v>Central Warehouse B</x:v>
      </x:c>
      <x:c r="D60" t="str">
        <x:v>Refrigerated (2-8 C)</x:v>
      </x:c>
      <x:c r="E60" s="8" t="n">
        <x:v>46001</x:v>
      </x:c>
      <x:c r="F60" s="8" t="n">
        <x:v>46924</x:v>
      </x:c>
      <x:c r="G60" s="9" t="n">
        <x:f>F60-TODAY()</x:f>
        <x:v>733</x:v>
      </x:c>
      <x:c r="H60" s="10" t="n">
        <x:f>G60/30</x:f>
        <x:v>24.433333333333334</x:v>
      </x:c>
      <x:c r="I60" t="str">
        <x:f>IF(H60&lt;3,"Critical",IF(H60&lt;=6,"Watch",IF(H60&lt;=12,"Normal","Healthy")))</x:f>
        <x:v>Healthy</x:v>
      </x:c>
      <x:c r="J60" s="11" t="n">
        <x:v>1658</x:v>
      </x:c>
      <x:c r="K60" t="str">
        <x:v>Released for Sale</x:v>
      </x:c>
      <x:c r="L60" s="12" t="str">
        <x:f>IF(OR(K60="Rejected",K60="Under Investigation"),"Escalate Supply Review",IF(I60="Critical",IF(MOD(ROW(),2)=0,"Commercial Discount Candidate","Redistribution Required"),IF(I60="Watch",IF(MOD(ROW(),2)=0,"Allocate to Tender Opportunity","Prioritize Current Orders"),IF(I60="Normal","Prioritize Current Orders","Normal Earliest Expiry First Rotation"))))</x:f>
        <x:v>Normal Earliest Expiry First Rotation</x:v>
      </x:c>
    </x:row>
    <x:row r="61">
      <x:c r="A61" t="str">
        <x:v>RX-ONC-ORAL</x:v>
      </x:c>
      <x:c r="B61" t="str">
        <x:v>Product Iota</x:v>
      </x:c>
      <x:c r="C61" t="str">
        <x:v>Regional Warehouse B</x:v>
      </x:c>
      <x:c r="D61" t="str">
        <x:v>Ambient</x:v>
      </x:c>
      <x:c r="E61" s="8" t="n">
        <x:v>45667</x:v>
      </x:c>
      <x:c r="F61" s="8" t="n">
        <x:v>46619</x:v>
      </x:c>
      <x:c r="G61" s="9" t="n">
        <x:f>F61-TODAY()</x:f>
        <x:v>428</x:v>
      </x:c>
      <x:c r="H61" s="10" t="n">
        <x:f>G61/30</x:f>
        <x:v>14.266666666666667</x:v>
      </x:c>
      <x:c r="I61" t="str">
        <x:f>IF(H61&lt;3,"Critical",IF(H61&lt;=6,"Watch",IF(H61&lt;=12,"Normal","Healthy")))</x:f>
        <x:v>Healthy</x:v>
      </x:c>
      <x:c r="J61" s="11" t="n">
        <x:v>1775</x:v>
      </x:c>
      <x:c r="K61" t="str">
        <x:v>Released for Sale</x:v>
      </x:c>
      <x:c r="L61" s="12" t="str">
        <x:f>IF(OR(K61="Rejected",K61="Under Investigation"),"Escalate Supply Review",IF(I61="Critical",IF(MOD(ROW(),2)=0,"Commercial Discount Candidate","Redistribution Required"),IF(I61="Watch",IF(MOD(ROW(),2)=0,"Allocate to Tender Opportunity","Prioritize Current Orders"),IF(I61="Normal","Prioritize Current Orders","Normal Earliest Expiry First Rotation"))))</x:f>
        <x:v>Normal Earliest Expiry First Rotation</x:v>
      </x:c>
    </x:row>
    <x:row r="62">
      <x:c r="A62" t="str">
        <x:v>RX-RARE-INF</x:v>
      </x:c>
      <x:c r="B62" t="str">
        <x:v>Product Kappa</x:v>
      </x:c>
      <x:c r="C62" t="str">
        <x:v>Central Warehouse C</x:v>
      </x:c>
      <x:c r="D62" t="str">
        <x:v>Refrigerated (2-8 C)</x:v>
      </x:c>
      <x:c r="E62" s="8" t="n">
        <x:v>45698</x:v>
      </x:c>
      <x:c r="F62" s="8" t="n">
        <x:v>46680</x:v>
      </x:c>
      <x:c r="G62" s="9" t="n">
        <x:f>F62-TODAY()</x:f>
        <x:v>489</x:v>
      </x:c>
      <x:c r="H62" s="10" t="n">
        <x:f>G62/30</x:f>
        <x:v>16.3</x:v>
      </x:c>
      <x:c r="I62" t="str">
        <x:f>IF(H62&lt;3,"Critical",IF(H62&lt;=6,"Watch",IF(H62&lt;=12,"Normal","Healthy")))</x:f>
        <x:v>Healthy</x:v>
      </x:c>
      <x:c r="J62" s="11" t="n">
        <x:v>92</x:v>
      </x:c>
      <x:c r="K62" t="str">
        <x:v>Under Investigation</x:v>
      </x:c>
      <x:c r="L62" s="12" t="str">
        <x:f>IF(OR(K62="Rejected",K62="Under Investigation"),"Escalate Supply Review",IF(I62="Critical",IF(MOD(ROW(),2)=0,"Commercial Discount Candidate","Redistribution Required"),IF(I62="Watch",IF(MOD(ROW(),2)=0,"Allocate to Tender Opportunity","Prioritize Current Orders"),IF(I62="Normal","Prioritize Current Orders","Normal Earliest Expiry First Rotation"))))</x:f>
        <x:v>Escalate Supply Review</x:v>
      </x:c>
    </x:row>
    <x:row r="63">
      <x:c r="A63" t="str">
        <x:v>DX-GENE-02</x:v>
      </x:c>
      <x:c r="B63" t="str">
        <x:v>Product Lambda</x:v>
      </x:c>
      <x:c r="C63" t="str">
        <x:v>Quality Warehouse A</x:v>
      </x:c>
      <x:c r="D63" t="str">
        <x:v>Ambient</x:v>
      </x:c>
      <x:c r="E63" s="8" t="n">
        <x:v>45726</x:v>
      </x:c>
      <x:c r="F63" s="8" t="n">
        <x:v>46741</x:v>
      </x:c>
      <x:c r="G63" s="9" t="n">
        <x:f>F63-TODAY()</x:f>
        <x:v>550</x:v>
      </x:c>
      <x:c r="H63" s="10" t="n">
        <x:f>G63/30</x:f>
        <x:v>18.333333333333332</x:v>
      </x:c>
      <x:c r="I63" t="str">
        <x:f>IF(H63&lt;3,"Critical",IF(H63&lt;=6,"Watch",IF(H63&lt;=12,"Normal","Healthy")))</x:f>
        <x:v>Healthy</x:v>
      </x:c>
      <x:c r="J63" s="11" t="n">
        <x:v>209</x:v>
      </x:c>
      <x:c r="K63" t="str">
        <x:v>Quarantine</x:v>
      </x:c>
      <x:c r="L63" s="12" t="str">
        <x:f>IF(OR(K63="Rejected",K63="Under Investigation"),"Escalate Supply Review",IF(I63="Critical",IF(MOD(ROW(),2)=0,"Commercial Discount Candidate","Redistribution Required"),IF(I63="Watch",IF(MOD(ROW(),2)=0,"Allocate to Tender Opportunity","Prioritize Current Orders"),IF(I63="Normal","Prioritize Current Orders","Normal Earliest Expiry First Rotation"))))</x:f>
        <x:v>Normal Earliest Expiry First Rotation</x:v>
      </x:c>
    </x:row>
    <x:row r="64">
      <x:c r="A64" t="str">
        <x:v>SVC-PAT-01</x:v>
      </x:c>
      <x:c r="B64" t="str">
        <x:v>Product Mu</x:v>
      </x:c>
      <x:c r="C64" t="str">
        <x:v>Central Warehouse A</x:v>
      </x:c>
      <x:c r="D64" t="str">
        <x:v>Not Applicable</x:v>
      </x:c>
      <x:c r="E64" s="8" t="n">
        <x:v>45757</x:v>
      </x:c>
      <x:c r="F64" s="8" t="n">
        <x:v>46803</x:v>
      </x:c>
      <x:c r="G64" s="9" t="n">
        <x:f>F64-TODAY()</x:f>
        <x:v>612</x:v>
      </x:c>
      <x:c r="H64" s="10" t="n">
        <x:f>G64/30</x:f>
        <x:v>20.4</x:v>
      </x:c>
      <x:c r="I64" t="str">
        <x:f>IF(H64&lt;3,"Critical",IF(H64&lt;=6,"Watch",IF(H64&lt;=12,"Normal","Healthy")))</x:f>
        <x:v>Healthy</x:v>
      </x:c>
      <x:c r="J64" s="11" t="n">
        <x:v>326</x:v>
      </x:c>
      <x:c r="K64" t="str">
        <x:v>Released for Sale</x:v>
      </x:c>
      <x:c r="L64" s="12" t="str">
        <x:f>IF(OR(K64="Rejected",K64="Under Investigation"),"Escalate Supply Review",IF(I64="Critical",IF(MOD(ROW(),2)=0,"Commercial Discount Candidate","Redistribution Required"),IF(I64="Watch",IF(MOD(ROW(),2)=0,"Allocate to Tender Opportunity","Prioritize Current Orders"),IF(I64="Normal","Prioritize Current Orders","Normal Earliest Expiry First Rotation"))))</x:f>
        <x:v>Normal Earliest Expiry First Rotation</x:v>
      </x:c>
    </x:row>
    <x:row r="65">
      <x:c r="A65" t="str">
        <x:v>RX-ONC-100</x:v>
      </x:c>
      <x:c r="B65" t="str">
        <x:v>Product Alpha</x:v>
      </x:c>
      <x:c r="C65" t="str">
        <x:v>Central Warehouse A</x:v>
      </x:c>
      <x:c r="D65" t="str">
        <x:v>Refrigerated (2-8 C)</x:v>
      </x:c>
      <x:c r="E65" s="8" t="n">
        <x:v>45818</x:v>
      </x:c>
      <x:c r="F65" s="8" t="n">
        <x:v>46588</x:v>
      </x:c>
      <x:c r="G65" s="9" t="n">
        <x:f>F65-TODAY()</x:f>
        <x:v>397</x:v>
      </x:c>
      <x:c r="H65" s="10" t="n">
        <x:f>G65/30</x:f>
        <x:v>13.233333333333333</x:v>
      </x:c>
      <x:c r="I65" t="str">
        <x:f>IF(H65&lt;3,"Critical",IF(H65&lt;=6,"Watch",IF(H65&lt;=12,"Normal","Healthy")))</x:f>
        <x:v>Healthy</x:v>
      </x:c>
      <x:c r="J65" s="11" t="n">
        <x:v>930</x:v>
      </x:c>
      <x:c r="K65" t="str">
        <x:v>Under Investigation</x:v>
      </x:c>
      <x:c r="L65" s="12" t="str">
        <x:f>IF(OR(K65="Rejected",K65="Under Investigation"),"Escalate Supply Review",IF(I65="Critical",IF(MOD(ROW(),2)=0,"Commercial Discount Candidate","Redistribution Required"),IF(I65="Watch",IF(MOD(ROW(),2)=0,"Allocate to Tender Opportunity","Prioritize Current Orders"),IF(I65="Normal","Prioritize Current Orders","Normal Earliest Expiry First Rotation"))))</x:f>
        <x:v>Escalate Supply Review</x:v>
      </x:c>
    </x:row>
    <x:row r="66">
      <x:c r="A66" t="str">
        <x:v>RX-ONC-500</x:v>
      </x:c>
      <x:c r="B66" t="str">
        <x:v>Product Beta</x:v>
      </x:c>
      <x:c r="C66" t="str">
        <x:v>Central Warehouse B</x:v>
      </x:c>
      <x:c r="D66" t="str">
        <x:v>Refrigerated (2-8 C)</x:v>
      </x:c>
      <x:c r="E66" s="8" t="n">
        <x:v>45848</x:v>
      </x:c>
      <x:c r="F66" s="8" t="n">
        <x:v>46650</x:v>
      </x:c>
      <x:c r="G66" s="9" t="n">
        <x:f>F66-TODAY()</x:f>
        <x:v>459</x:v>
      </x:c>
      <x:c r="H66" s="10" t="n">
        <x:f>G66/30</x:f>
        <x:v>15.3</x:v>
      </x:c>
      <x:c r="I66" t="str">
        <x:f>IF(H66&lt;3,"Critical",IF(H66&lt;=6,"Watch",IF(H66&lt;=12,"Normal","Healthy")))</x:f>
        <x:v>Healthy</x:v>
      </x:c>
      <x:c r="J66" s="11" t="n">
        <x:v>1060</x:v>
      </x:c>
      <x:c r="K66" t="str">
        <x:v>Quarantine</x:v>
      </x:c>
      <x:c r="L66" s="12" t="str">
        <x:f>IF(OR(K66="Rejected",K66="Under Investigation"),"Escalate Supply Review",IF(I66="Critical",IF(MOD(ROW(),2)=0,"Commercial Discount Candidate","Redistribution Required"),IF(I66="Watch",IF(MOD(ROW(),2)=0,"Allocate to Tender Opportunity","Prioritize Current Orders"),IF(I66="Normal","Prioritize Current Orders","Normal Earliest Expiry First Rotation"))))</x:f>
        <x:v>Normal Earliest Expiry First Rotation</x:v>
      </x:c>
    </x:row>
    <x:row r="67">
      <x:c r="A67" t="str">
        <x:v>BIO-RA-200</x:v>
      </x:c>
      <x:c r="B67" t="str">
        <x:v>Product Gamma</x:v>
      </x:c>
      <x:c r="C67" t="str">
        <x:v>Regional Warehouse B</x:v>
      </x:c>
      <x:c r="D67" t="str">
        <x:v>Refrigerated (2-8 C)</x:v>
      </x:c>
      <x:c r="E67" s="8" t="n">
        <x:v>45879</x:v>
      </x:c>
      <x:c r="F67" s="8" t="n">
        <x:v>46711</x:v>
      </x:c>
      <x:c r="G67" s="9" t="n">
        <x:f>F67-TODAY()</x:f>
        <x:v>520</x:v>
      </x:c>
      <x:c r="H67" s="10" t="n">
        <x:f>G67/30</x:f>
        <x:v>17.333333333333332</x:v>
      </x:c>
      <x:c r="I67" t="str">
        <x:f>IF(H67&lt;3,"Critical",IF(H67&lt;=6,"Watch",IF(H67&lt;=12,"Normal","Healthy")))</x:f>
        <x:v>Healthy</x:v>
      </x:c>
      <x:c r="J67" s="11" t="n">
        <x:v>1190</x:v>
      </x:c>
      <x:c r="K67" t="str">
        <x:v>Released for Sale</x:v>
      </x:c>
      <x:c r="L67" s="12" t="str">
        <x:f>IF(OR(K67="Rejected",K67="Under Investigation"),"Escalate Supply Review",IF(I67="Critical",IF(MOD(ROW(),2)=0,"Commercial Discount Candidate","Redistribution Required"),IF(I67="Watch",IF(MOD(ROW(),2)=0,"Allocate to Tender Opportunity","Prioritize Current Orders"),IF(I67="Normal","Prioritize Current Orders","Normal Earliest Expiry First Rotation"))))</x:f>
        <x:v>Normal Earliest Expiry First Rotation</x:v>
      </x:c>
    </x:row>
    <x:row r="68">
      <x:c r="A68" t="str">
        <x:v>RX-CARD-50</x:v>
      </x:c>
      <x:c r="B68" t="str">
        <x:v>Product Delta</x:v>
      </x:c>
      <x:c r="C68" t="str">
        <x:v>Central Warehouse C</x:v>
      </x:c>
      <x:c r="D68" t="str">
        <x:v>Ambient</x:v>
      </x:c>
      <x:c r="E68" s="8" t="n">
        <x:v>45910</x:v>
      </x:c>
      <x:c r="F68" s="8" t="n">
        <x:v>46772</x:v>
      </x:c>
      <x:c r="G68" s="9" t="n">
        <x:f>F68-TODAY()</x:f>
        <x:v>581</x:v>
      </x:c>
      <x:c r="H68" s="10" t="n">
        <x:f>G68/30</x:f>
        <x:v>19.366666666666667</x:v>
      </x:c>
      <x:c r="I68" t="str">
        <x:f>IF(H68&lt;3,"Critical",IF(H68&lt;=6,"Watch",IF(H68&lt;=12,"Normal","Healthy")))</x:f>
        <x:v>Healthy</x:v>
      </x:c>
      <x:c r="J68" s="11" t="n">
        <x:v>1320</x:v>
      </x:c>
      <x:c r="K68" t="str">
        <x:v>Released for Sale</x:v>
      </x:c>
      <x:c r="L68" s="12" t="str">
        <x:f>IF(OR(K68="Rejected",K68="Under Investigation"),"Escalate Supply Review",IF(I68="Critical",IF(MOD(ROW(),2)=0,"Commercial Discount Candidate","Redistribution Required"),IF(I68="Watch",IF(MOD(ROW(),2)=0,"Allocate to Tender Opportunity","Prioritize Current Orders"),IF(I68="Normal","Prioritize Current Orders","Normal Earliest Expiry First Rotation"))))</x:f>
        <x:v>Normal Earliest Expiry First Rotation</x:v>
      </x:c>
    </x:row>
    <x:row r="69">
      <x:c r="A69" t="str">
        <x:v>RX-RARE-10</x:v>
      </x:c>
      <x:c r="B69" t="str">
        <x:v>Product Epsilon</x:v>
      </x:c>
      <x:c r="C69" t="str">
        <x:v>Quality Warehouse A</x:v>
      </x:c>
      <x:c r="D69" t="str">
        <x:v>Refrigerated (2-8 C)</x:v>
      </x:c>
      <x:c r="E69" s="8" t="n">
        <x:v>45940</x:v>
      </x:c>
      <x:c r="F69" s="8" t="n">
        <x:v>46832</x:v>
      </x:c>
      <x:c r="G69" s="9" t="n">
        <x:f>F69-TODAY()</x:f>
        <x:v>641</x:v>
      </x:c>
      <x:c r="H69" s="10" t="n">
        <x:f>G69/30</x:f>
        <x:v>21.366666666666667</x:v>
      </x:c>
      <x:c r="I69" t="str">
        <x:f>IF(H69&lt;3,"Critical",IF(H69&lt;=6,"Watch",IF(H69&lt;=12,"Normal","Healthy")))</x:f>
        <x:v>Healthy</x:v>
      </x:c>
      <x:c r="J69" s="11" t="n">
        <x:v>1450</x:v>
      </x:c>
      <x:c r="K69" t="str">
        <x:v>Under Investigation</x:v>
      </x:c>
      <x:c r="L69" s="12" t="str">
        <x:f>IF(OR(K69="Rejected",K69="Under Investigation"),"Escalate Supply Review",IF(I69="Critical",IF(MOD(ROW(),2)=0,"Commercial Discount Candidate","Redistribution Required"),IF(I69="Watch",IF(MOD(ROW(),2)=0,"Allocate to Tender Opportunity","Prioritize Current Orders"),IF(I69="Normal","Prioritize Current Orders","Normal Earliest Expiry First Rotation"))))</x:f>
        <x:v>Escalate Supply Review</x:v>
      </x:c>
    </x:row>
    <x:row r="70">
      <x:c r="A70" t="str">
        <x:v>DX-COMP-01</x:v>
      </x:c>
      <x:c r="B70" t="str">
        <x:v>Product Zeta</x:v>
      </x:c>
      <x:c r="C70" t="str">
        <x:v>Central Warehouse A</x:v>
      </x:c>
      <x:c r="D70" t="str">
        <x:v>Ambient</x:v>
      </x:c>
      <x:c r="E70" s="8" t="n">
        <x:v>45971</x:v>
      </x:c>
      <x:c r="F70" s="8" t="n">
        <x:v>46893</x:v>
      </x:c>
      <x:c r="G70" s="9" t="n">
        <x:f>F70-TODAY()</x:f>
        <x:v>702</x:v>
      </x:c>
      <x:c r="H70" s="10" t="n">
        <x:f>G70/30</x:f>
        <x:v>23.4</x:v>
      </x:c>
      <x:c r="I70" t="str">
        <x:f>IF(H70&lt;3,"Critical",IF(H70&lt;=6,"Watch",IF(H70&lt;=12,"Normal","Healthy")))</x:f>
        <x:v>Healthy</x:v>
      </x:c>
      <x:c r="J70" s="11" t="n">
        <x:v>1580</x:v>
      </x:c>
      <x:c r="K70" t="str">
        <x:v>Quarantine</x:v>
      </x:c>
      <x:c r="L70" s="12" t="str">
        <x:f>IF(OR(K70="Rejected",K70="Under Investigation"),"Escalate Supply Review",IF(I70="Critical",IF(MOD(ROW(),2)=0,"Commercial Discount Candidate","Redistribution Required"),IF(I70="Watch",IF(MOD(ROW(),2)=0,"Allocate to Tender Opportunity","Prioritize Current Orders"),IF(I70="Normal","Prioritize Current Orders","Normal Earliest Expiry First Rotation"))))</x:f>
        <x:v>Normal Earliest Expiry First Rotation</x:v>
      </x:c>
    </x:row>
    <x:row r="71">
      <x:c r="A71" t="str">
        <x:v>RX-HOSP-20</x:v>
      </x:c>
      <x:c r="B71" t="str">
        <x:v>Product Eta</x:v>
      </x:c>
      <x:c r="C71" t="str">
        <x:v>Central Warehouse B</x:v>
      </x:c>
      <x:c r="D71" t="str">
        <x:v>Ambient</x:v>
      </x:c>
      <x:c r="E71" s="8" t="n">
        <x:v>46001</x:v>
      </x:c>
      <x:c r="F71" s="8" t="n">
        <x:v>46954</x:v>
      </x:c>
      <x:c r="G71" s="9" t="n">
        <x:f>F71-TODAY()</x:f>
        <x:v>763</x:v>
      </x:c>
      <x:c r="H71" s="10" t="n">
        <x:f>G71/30</x:f>
        <x:v>25.433333333333334</x:v>
      </x:c>
      <x:c r="I71" t="str">
        <x:f>IF(H71&lt;3,"Critical",IF(H71&lt;=6,"Watch",IF(H71&lt;=12,"Normal","Healthy")))</x:f>
        <x:v>Healthy</x:v>
      </x:c>
      <x:c r="J71" s="11" t="n">
        <x:v>1710</x:v>
      </x:c>
      <x:c r="K71" t="str">
        <x:v>Released for Sale</x:v>
      </x:c>
      <x:c r="L71" s="12" t="str">
        <x:f>IF(OR(K71="Rejected",K71="Under Investigation"),"Escalate Supply Review",IF(I71="Critical",IF(MOD(ROW(),2)=0,"Commercial Discount Candidate","Redistribution Required"),IF(I71="Watch",IF(MOD(ROW(),2)=0,"Allocate to Tender Opportunity","Prioritize Current Orders"),IF(I71="Normal","Prioritize Current Orders","Normal Earliest Expiry First Rotation"))))</x:f>
        <x:v>Normal Earliest Expiry First Rotation</x:v>
      </x:c>
    </x:row>
    <x:row r="72">
      <x:c r="A72" t="str">
        <x:v>BIO-DERM-80</x:v>
      </x:c>
      <x:c r="B72" t="str">
        <x:v>Product Theta</x:v>
      </x:c>
      <x:c r="C72" t="str">
        <x:v>Regional Warehouse B</x:v>
      </x:c>
      <x:c r="D72" t="str">
        <x:v>Refrigerated (2-8 C)</x:v>
      </x:c>
      <x:c r="E72" s="8" t="n">
        <x:v>45667</x:v>
      </x:c>
      <x:c r="F72" s="8" t="n">
        <x:v>46650</x:v>
      </x:c>
      <x:c r="G72" s="9" t="n">
        <x:f>F72-TODAY()</x:f>
        <x:v>459</x:v>
      </x:c>
      <x:c r="H72" s="10" t="n">
        <x:f>G72/30</x:f>
        <x:v>15.3</x:v>
      </x:c>
      <x:c r="I72" t="str">
        <x:f>IF(H72&lt;3,"Critical",IF(H72&lt;=6,"Watch",IF(H72&lt;=12,"Normal","Healthy")))</x:f>
        <x:v>Healthy</x:v>
      </x:c>
      <x:c r="J72" s="11" t="n">
        <x:v>40</x:v>
      </x:c>
      <x:c r="K72" t="str">
        <x:v>Released for Sale</x:v>
      </x:c>
      <x:c r="L72" s="12" t="str">
        <x:f>IF(OR(K72="Rejected",K72="Under Investigation"),"Escalate Supply Review",IF(I72="Critical",IF(MOD(ROW(),2)=0,"Commercial Discount Candidate","Redistribution Required"),IF(I72="Watch",IF(MOD(ROW(),2)=0,"Allocate to Tender Opportunity","Prioritize Current Orders"),IF(I72="Normal","Prioritize Current Orders","Normal Earliest Expiry First Rotation"))))</x:f>
        <x:v>Normal Earliest Expiry First Rotation</x:v>
      </x:c>
    </x:row>
    <x:row r="73">
      <x:c r="A73" t="str">
        <x:v>RX-ONC-ORAL</x:v>
      </x:c>
      <x:c r="B73" t="str">
        <x:v>Product Iota</x:v>
      </x:c>
      <x:c r="C73" t="str">
        <x:v>Central Warehouse C</x:v>
      </x:c>
      <x:c r="D73" t="str">
        <x:v>Ambient</x:v>
      </x:c>
      <x:c r="E73" s="8" t="n">
        <x:v>45698</x:v>
      </x:c>
      <x:c r="F73" s="8" t="n">
        <x:v>46711</x:v>
      </x:c>
      <x:c r="G73" s="9" t="n">
        <x:f>F73-TODAY()</x:f>
        <x:v>520</x:v>
      </x:c>
      <x:c r="H73" s="10" t="n">
        <x:f>G73/30</x:f>
        <x:v>17.333333333333332</x:v>
      </x:c>
      <x:c r="I73" t="str">
        <x:f>IF(H73&lt;3,"Critical",IF(H73&lt;=6,"Watch",IF(H73&lt;=12,"Normal","Healthy")))</x:f>
        <x:v>Healthy</x:v>
      </x:c>
      <x:c r="J73" s="11" t="n">
        <x:v>170</x:v>
      </x:c>
      <x:c r="K73" t="str">
        <x:v>Under Investigation</x:v>
      </x:c>
      <x:c r="L73" s="12" t="str">
        <x:f>IF(OR(K73="Rejected",K73="Under Investigation"),"Escalate Supply Review",IF(I73="Critical",IF(MOD(ROW(),2)=0,"Commercial Discount Candidate","Redistribution Required"),IF(I73="Watch",IF(MOD(ROW(),2)=0,"Allocate to Tender Opportunity","Prioritize Current Orders"),IF(I73="Normal","Prioritize Current Orders","Normal Earliest Expiry First Rotation"))))</x:f>
        <x:v>Escalate Supply Review</x:v>
      </x:c>
    </x:row>
    <x:row r="74">
      <x:c r="A74" t="str">
        <x:v>RX-RARE-INF</x:v>
      </x:c>
      <x:c r="B74" t="str">
        <x:v>Product Kappa</x:v>
      </x:c>
      <x:c r="C74" t="str">
        <x:v>Quality Warehouse A</x:v>
      </x:c>
      <x:c r="D74" t="str">
        <x:v>Refrigerated (2-8 C)</x:v>
      </x:c>
      <x:c r="E74" s="8" t="n">
        <x:v>45726</x:v>
      </x:c>
      <x:c r="F74" s="8" t="n">
        <x:v>46772</x:v>
      </x:c>
      <x:c r="G74" s="9" t="n">
        <x:f>F74-TODAY()</x:f>
        <x:v>581</x:v>
      </x:c>
      <x:c r="H74" s="10" t="n">
        <x:f>G74/30</x:f>
        <x:v>19.366666666666667</x:v>
      </x:c>
      <x:c r="I74" t="str">
        <x:f>IF(H74&lt;3,"Critical",IF(H74&lt;=6,"Watch",IF(H74&lt;=12,"Normal","Healthy")))</x:f>
        <x:v>Healthy</x:v>
      </x:c>
      <x:c r="J74" s="11" t="n">
        <x:v>300</x:v>
      </x:c>
      <x:c r="K74" t="str">
        <x:v>Quarantine</x:v>
      </x:c>
      <x:c r="L74" s="12" t="str">
        <x:f>IF(OR(K74="Rejected",K74="Under Investigation"),"Escalate Supply Review",IF(I74="Critical",IF(MOD(ROW(),2)=0,"Commercial Discount Candidate","Redistribution Required"),IF(I74="Watch",IF(MOD(ROW(),2)=0,"Allocate to Tender Opportunity","Prioritize Current Orders"),IF(I74="Normal","Prioritize Current Orders","Normal Earliest Expiry First Rotation"))))</x:f>
        <x:v>Normal Earliest Expiry First Rotation</x:v>
      </x:c>
    </x:row>
    <x:row r="75">
      <x:c r="A75" t="str">
        <x:v>DX-GENE-02</x:v>
      </x:c>
      <x:c r="B75" t="str">
        <x:v>Product Lambda</x:v>
      </x:c>
      <x:c r="C75" t="str">
        <x:v>Central Warehouse A</x:v>
      </x:c>
      <x:c r="D75" t="str">
        <x:v>Ambient</x:v>
      </x:c>
      <x:c r="E75" s="8" t="n">
        <x:v>45757</x:v>
      </x:c>
      <x:c r="F75" s="8" t="n">
        <x:v>46832</x:v>
      </x:c>
      <x:c r="G75" s="9" t="n">
        <x:f>F75-TODAY()</x:f>
        <x:v>641</x:v>
      </x:c>
      <x:c r="H75" s="10" t="n">
        <x:f>G75/30</x:f>
        <x:v>21.366666666666667</x:v>
      </x:c>
      <x:c r="I75" t="str">
        <x:f>IF(H75&lt;3,"Critical",IF(H75&lt;=6,"Watch",IF(H75&lt;=12,"Normal","Healthy")))</x:f>
        <x:v>Healthy</x:v>
      </x:c>
      <x:c r="J75" s="11" t="n">
        <x:v>430</x:v>
      </x:c>
      <x:c r="K75" t="str">
        <x:v>Released for Sale</x:v>
      </x:c>
      <x:c r="L75" s="12" t="str">
        <x:f>IF(OR(K75="Rejected",K75="Under Investigation"),"Escalate Supply Review",IF(I75="Critical",IF(MOD(ROW(),2)=0,"Commercial Discount Candidate","Redistribution Required"),IF(I75="Watch",IF(MOD(ROW(),2)=0,"Allocate to Tender Opportunity","Prioritize Current Orders"),IF(I75="Normal","Prioritize Current Orders","Normal Earliest Expiry First Rotation"))))</x:f>
        <x:v>Normal Earliest Expiry First Rotation</x:v>
      </x:c>
    </x:row>
    <x:row r="76">
      <x:c r="A76" t="str">
        <x:v>SVC-PAT-01</x:v>
      </x:c>
      <x:c r="B76" t="str">
        <x:v>Product Mu</x:v>
      </x:c>
      <x:c r="C76" t="str">
        <x:v>Central Warehouse B</x:v>
      </x:c>
      <x:c r="D76" t="str">
        <x:v>Not Applicable</x:v>
      </x:c>
      <x:c r="E76" s="8" t="n">
        <x:v>45787</x:v>
      </x:c>
      <x:c r="F76" s="8" t="n">
        <x:v>46893</x:v>
      </x:c>
      <x:c r="G76" s="9" t="n">
        <x:f>F76-TODAY()</x:f>
        <x:v>702</x:v>
      </x:c>
      <x:c r="H76" s="10" t="n">
        <x:f>G76/30</x:f>
        <x:v>23.4</x:v>
      </x:c>
      <x:c r="I76" t="str">
        <x:f>IF(H76&lt;3,"Critical",IF(H76&lt;=6,"Watch",IF(H76&lt;=12,"Normal","Healthy")))</x:f>
        <x:v>Healthy</x:v>
      </x:c>
      <x:c r="J76" s="11" t="n">
        <x:v>560</x:v>
      </x:c>
      <x:c r="K76" t="str">
        <x:v>Released for Sale</x:v>
      </x:c>
      <x:c r="L76" s="12" t="str">
        <x:f>IF(OR(K76="Rejected",K76="Under Investigation"),"Escalate Supply Review",IF(I76="Critical",IF(MOD(ROW(),2)=0,"Commercial Discount Candidate","Redistribution Required"),IF(I76="Watch",IF(MOD(ROW(),2)=0,"Allocate to Tender Opportunity","Prioritize Current Orders"),IF(I76="Normal","Prioritize Current Orders","Normal Earliest Expiry First Rotation"))))</x:f>
        <x:v>Normal Earliest Expiry First Rotation</x:v>
      </x:c>
    </x:row>
    <x:row r="77">
      <x:c r="A77" t="str">
        <x:v>RX-ONC-100</x:v>
      </x:c>
      <x:c r="B77" t="str">
        <x:v>Product Alpha</x:v>
      </x:c>
      <x:c r="C77" t="str">
        <x:v>Central Warehouse B</x:v>
      </x:c>
      <x:c r="D77" t="str">
        <x:v>Refrigerated (2-8 C)</x:v>
      </x:c>
      <x:c r="E77" s="8" t="n">
        <x:v>45848</x:v>
      </x:c>
      <x:c r="F77" s="8" t="n">
        <x:v>46680</x:v>
      </x:c>
      <x:c r="G77" s="9" t="n">
        <x:f>F77-TODAY()</x:f>
        <x:v>489</x:v>
      </x:c>
      <x:c r="H77" s="10" t="n">
        <x:f>G77/30</x:f>
        <x:v>16.3</x:v>
      </x:c>
      <x:c r="I77" t="str">
        <x:f>IF(H77&lt;3,"Critical",IF(H77&lt;=6,"Watch",IF(H77&lt;=12,"Normal","Healthy")))</x:f>
        <x:v>Healthy</x:v>
      </x:c>
      <x:c r="J77" s="11" t="n">
        <x:v>1021</x:v>
      </x:c>
      <x:c r="K77" t="str">
        <x:v>Quarantine</x:v>
      </x:c>
      <x:c r="L77" s="12" t="str">
        <x:f>IF(OR(K77="Rejected",K77="Under Investigation"),"Escalate Supply Review",IF(I77="Critical",IF(MOD(ROW(),2)=0,"Commercial Discount Candidate","Redistribution Required"),IF(I77="Watch",IF(MOD(ROW(),2)=0,"Allocate to Tender Opportunity","Prioritize Current Orders"),IF(I77="Normal","Prioritize Current Orders","Normal Earliest Expiry First Rotation"))))</x:f>
        <x:v>Normal Earliest Expiry First Rotation</x:v>
      </x:c>
    </x:row>
    <x:row r="78">
      <x:c r="A78" t="str">
        <x:v>RX-ONC-500</x:v>
      </x:c>
      <x:c r="B78" t="str">
        <x:v>Product Beta</x:v>
      </x:c>
      <x:c r="C78" t="str">
        <x:v>Regional Warehouse B</x:v>
      </x:c>
      <x:c r="D78" t="str">
        <x:v>Refrigerated (2-8 C)</x:v>
      </x:c>
      <x:c r="E78" s="8" t="n">
        <x:v>45879</x:v>
      </x:c>
      <x:c r="F78" s="8" t="n">
        <x:v>46741</x:v>
      </x:c>
      <x:c r="G78" s="9" t="n">
        <x:f>F78-TODAY()</x:f>
        <x:v>550</x:v>
      </x:c>
      <x:c r="H78" s="10" t="n">
        <x:f>G78/30</x:f>
        <x:v>18.333333333333332</x:v>
      </x:c>
      <x:c r="I78" t="str">
        <x:f>IF(H78&lt;3,"Critical",IF(H78&lt;=6,"Watch",IF(H78&lt;=12,"Normal","Healthy")))</x:f>
        <x:v>Healthy</x:v>
      </x:c>
      <x:c r="J78" s="11" t="n">
        <x:v>1164</x:v>
      </x:c>
      <x:c r="K78" t="str">
        <x:v>Rejected</x:v>
      </x:c>
      <x:c r="L78" s="12" t="str">
        <x:f>IF(OR(K78="Rejected",K78="Under Investigation"),"Escalate Supply Review",IF(I78="Critical",IF(MOD(ROW(),2)=0,"Commercial Discount Candidate","Redistribution Required"),IF(I78="Watch",IF(MOD(ROW(),2)=0,"Allocate to Tender Opportunity","Prioritize Current Orders"),IF(I78="Normal","Prioritize Current Orders","Normal Earliest Expiry First Rotation"))))</x:f>
        <x:v>Escalate Supply Review</x:v>
      </x:c>
    </x:row>
    <x:row r="79">
      <x:c r="A79" t="str">
        <x:v>BIO-RA-200</x:v>
      </x:c>
      <x:c r="B79" t="str">
        <x:v>Product Gamma</x:v>
      </x:c>
      <x:c r="C79" t="str">
        <x:v>Central Warehouse C</x:v>
      </x:c>
      <x:c r="D79" t="str">
        <x:v>Refrigerated (2-8 C)</x:v>
      </x:c>
      <x:c r="E79" s="8" t="n">
        <x:v>45910</x:v>
      </x:c>
      <x:c r="F79" s="8" t="n">
        <x:v>46803</x:v>
      </x:c>
      <x:c r="G79" s="9" t="n">
        <x:f>F79-TODAY()</x:f>
        <x:v>612</x:v>
      </x:c>
      <x:c r="H79" s="10" t="n">
        <x:f>G79/30</x:f>
        <x:v>20.4</x:v>
      </x:c>
      <x:c r="I79" t="str">
        <x:f>IF(H79&lt;3,"Critical",IF(H79&lt;=6,"Watch",IF(H79&lt;=12,"Normal","Healthy")))</x:f>
        <x:v>Healthy</x:v>
      </x:c>
      <x:c r="J79" s="11" t="n">
        <x:v>1307</x:v>
      </x:c>
      <x:c r="K79" t="str">
        <x:v>Released for Sale</x:v>
      </x:c>
      <x:c r="L79" s="12" t="str">
        <x:f>IF(OR(K79="Rejected",K79="Under Investigation"),"Escalate Supply Review",IF(I79="Critical",IF(MOD(ROW(),2)=0,"Commercial Discount Candidate","Redistribution Required"),IF(I79="Watch",IF(MOD(ROW(),2)=0,"Allocate to Tender Opportunity","Prioritize Current Orders"),IF(I79="Normal","Prioritize Current Orders","Normal Earliest Expiry First Rotation"))))</x:f>
        <x:v>Normal Earliest Expiry First Rotation</x:v>
      </x:c>
    </x:row>
    <x:row r="80">
      <x:c r="A80" t="str">
        <x:v>RX-CARD-50</x:v>
      </x:c>
      <x:c r="B80" t="str">
        <x:v>Product Delta</x:v>
      </x:c>
      <x:c r="C80" t="str">
        <x:v>Quality Warehouse A</x:v>
      </x:c>
      <x:c r="D80" t="str">
        <x:v>Ambient</x:v>
      </x:c>
      <x:c r="E80" s="8" t="n">
        <x:v>45940</x:v>
      </x:c>
      <x:c r="F80" s="8" t="n">
        <x:v>46863</x:v>
      </x:c>
      <x:c r="G80" s="9" t="n">
        <x:f>F80-TODAY()</x:f>
        <x:v>672</x:v>
      </x:c>
      <x:c r="H80" s="10" t="n">
        <x:f>G80/30</x:f>
        <x:v>22.4</x:v>
      </x:c>
      <x:c r="I80" t="str">
        <x:f>IF(H80&lt;3,"Critical",IF(H80&lt;=6,"Watch",IF(H80&lt;=12,"Normal","Healthy")))</x:f>
        <x:v>Healthy</x:v>
      </x:c>
      <x:c r="J80" s="11" t="n">
        <x:v>1450</x:v>
      </x:c>
      <x:c r="K80" t="str">
        <x:v>Under Investigation</x:v>
      </x:c>
      <x:c r="L80" s="12" t="str">
        <x:f>IF(OR(K80="Rejected",K80="Under Investigation"),"Escalate Supply Review",IF(I80="Critical",IF(MOD(ROW(),2)=0,"Commercial Discount Candidate","Redistribution Required"),IF(I80="Watch",IF(MOD(ROW(),2)=0,"Allocate to Tender Opportunity","Prioritize Current Orders"),IF(I80="Normal","Prioritize Current Orders","Normal Earliest Expiry First Rotation"))))</x:f>
        <x:v>Escalate Supply Review</x:v>
      </x:c>
    </x:row>
    <x:row r="81">
      <x:c r="A81" t="str">
        <x:v>RX-RARE-10</x:v>
      </x:c>
      <x:c r="B81" t="str">
        <x:v>Product Epsilon</x:v>
      </x:c>
      <x:c r="C81" t="str">
        <x:v>Central Warehouse A</x:v>
      </x:c>
      <x:c r="D81" t="str">
        <x:v>Refrigerated (2-8 C)</x:v>
      </x:c>
      <x:c r="E81" s="8" t="n">
        <x:v>45971</x:v>
      </x:c>
      <x:c r="F81" s="8" t="n">
        <x:v>46924</x:v>
      </x:c>
      <x:c r="G81" s="9" t="n">
        <x:f>F81-TODAY()</x:f>
        <x:v>733</x:v>
      </x:c>
      <x:c r="H81" s="10" t="n">
        <x:f>G81/30</x:f>
        <x:v>24.433333333333334</x:v>
      </x:c>
      <x:c r="I81" t="str">
        <x:f>IF(H81&lt;3,"Critical",IF(H81&lt;=6,"Watch",IF(H81&lt;=12,"Normal","Healthy")))</x:f>
        <x:v>Healthy</x:v>
      </x:c>
      <x:c r="J81" s="11" t="n">
        <x:v>1593</x:v>
      </x:c>
      <x:c r="K81" t="str">
        <x:v>Quarantine</x:v>
      </x:c>
      <x:c r="L81" s="12" t="str">
        <x:f>IF(OR(K81="Rejected",K81="Under Investigation"),"Escalate Supply Review",IF(I81="Critical",IF(MOD(ROW(),2)=0,"Commercial Discount Candidate","Redistribution Required"),IF(I81="Watch",IF(MOD(ROW(),2)=0,"Allocate to Tender Opportunity","Prioritize Current Orders"),IF(I81="Normal","Prioritize Current Orders","Normal Earliest Expiry First Rotation"))))</x:f>
        <x:v>Normal Earliest Expiry First Rotation</x:v>
      </x:c>
    </x:row>
    <x:row r="82">
      <x:c r="A82" t="str">
        <x:v>DX-COMP-01</x:v>
      </x:c>
      <x:c r="B82" t="str">
        <x:v>Product Zeta</x:v>
      </x:c>
      <x:c r="C82" t="str">
        <x:v>Central Warehouse B</x:v>
      </x:c>
      <x:c r="D82" t="str">
        <x:v>Ambient</x:v>
      </x:c>
      <x:c r="E82" s="8" t="n">
        <x:v>46001</x:v>
      </x:c>
      <x:c r="F82" s="8" t="n">
        <x:v>46985</x:v>
      </x:c>
      <x:c r="G82" s="9" t="n">
        <x:f>F82-TODAY()</x:f>
        <x:v>794</x:v>
      </x:c>
      <x:c r="H82" s="10" t="n">
        <x:f>G82/30</x:f>
        <x:v>26.466666666666665</x:v>
      </x:c>
      <x:c r="I82" t="str">
        <x:f>IF(H82&lt;3,"Critical",IF(H82&lt;=6,"Watch",IF(H82&lt;=12,"Normal","Healthy")))</x:f>
        <x:v>Healthy</x:v>
      </x:c>
      <x:c r="J82" s="11" t="n">
        <x:v>1736</x:v>
      </x:c>
      <x:c r="K82" t="str">
        <x:v>Released for Sale</x:v>
      </x:c>
      <x:c r="L82" s="12" t="str">
        <x:f>IF(OR(K82="Rejected",K82="Under Investigation"),"Escalate Supply Review",IF(I82="Critical",IF(MOD(ROW(),2)=0,"Commercial Discount Candidate","Redistribution Required"),IF(I82="Watch",IF(MOD(ROW(),2)=0,"Allocate to Tender Opportunity","Prioritize Current Orders"),IF(I82="Normal","Prioritize Current Orders","Normal Earliest Expiry First Rotation"))))</x:f>
        <x:v>Normal Earliest Expiry First Rotation</x:v>
      </x:c>
    </x:row>
    <x:row r="83">
      <x:c r="A83" t="str">
        <x:v>RX-HOSP-20</x:v>
      </x:c>
      <x:c r="B83" t="str">
        <x:v>Product Eta</x:v>
      </x:c>
      <x:c r="C83" t="str">
        <x:v>Regional Warehouse B</x:v>
      </x:c>
      <x:c r="D83" t="str">
        <x:v>Ambient</x:v>
      </x:c>
      <x:c r="E83" s="8" t="n">
        <x:v>45667</x:v>
      </x:c>
      <x:c r="F83" s="8" t="n">
        <x:v>46680</x:v>
      </x:c>
      <x:c r="G83" s="9" t="n">
        <x:f>F83-TODAY()</x:f>
        <x:v>489</x:v>
      </x:c>
      <x:c r="H83" s="10" t="n">
        <x:f>G83/30</x:f>
        <x:v>16.3</x:v>
      </x:c>
      <x:c r="I83" t="str">
        <x:f>IF(H83&lt;3,"Critical",IF(H83&lt;=6,"Watch",IF(H83&lt;=12,"Normal","Healthy")))</x:f>
        <x:v>Healthy</x:v>
      </x:c>
      <x:c r="J83" s="11" t="n">
        <x:v>79</x:v>
      </x:c>
      <x:c r="K83" t="str">
        <x:v>Released for Sale</x:v>
      </x:c>
      <x:c r="L83" s="12" t="str">
        <x:f>IF(OR(K83="Rejected",K83="Under Investigation"),"Escalate Supply Review",IF(I83="Critical",IF(MOD(ROW(),2)=0,"Commercial Discount Candidate","Redistribution Required"),IF(I83="Watch",IF(MOD(ROW(),2)=0,"Allocate to Tender Opportunity","Prioritize Current Orders"),IF(I83="Normal","Prioritize Current Orders","Normal Earliest Expiry First Rotation"))))</x:f>
        <x:v>Normal Earliest Expiry First Rotation</x:v>
      </x:c>
    </x:row>
    <x:row r="84">
      <x:c r="A84" t="str">
        <x:v>BIO-DERM-80</x:v>
      </x:c>
      <x:c r="B84" t="str">
        <x:v>Product Theta</x:v>
      </x:c>
      <x:c r="C84" t="str">
        <x:v>Central Warehouse C</x:v>
      </x:c>
      <x:c r="D84" t="str">
        <x:v>Refrigerated (2-8 C)</x:v>
      </x:c>
      <x:c r="E84" s="8" t="n">
        <x:v>45698</x:v>
      </x:c>
      <x:c r="F84" s="8" t="n">
        <x:v>46741</x:v>
      </x:c>
      <x:c r="G84" s="9" t="n">
        <x:f>F84-TODAY()</x:f>
        <x:v>550</x:v>
      </x:c>
      <x:c r="H84" s="10" t="n">
        <x:f>G84/30</x:f>
        <x:v>18.333333333333332</x:v>
      </x:c>
      <x:c r="I84" t="str">
        <x:f>IF(H84&lt;3,"Critical",IF(H84&lt;=6,"Watch",IF(H84&lt;=12,"Normal","Healthy")))</x:f>
        <x:v>Healthy</x:v>
      </x:c>
      <x:c r="J84" s="11" t="n">
        <x:v>222</x:v>
      </x:c>
      <x:c r="K84" t="str">
        <x:v>Under Investigation</x:v>
      </x:c>
      <x:c r="L84" s="12" t="str">
        <x:f>IF(OR(K84="Rejected",K84="Under Investigation"),"Escalate Supply Review",IF(I84="Critical",IF(MOD(ROW(),2)=0,"Commercial Discount Candidate","Redistribution Required"),IF(I84="Watch",IF(MOD(ROW(),2)=0,"Allocate to Tender Opportunity","Prioritize Current Orders"),IF(I84="Normal","Prioritize Current Orders","Normal Earliest Expiry First Rotation"))))</x:f>
        <x:v>Escalate Supply Review</x:v>
      </x:c>
    </x:row>
    <x:row r="85">
      <x:c r="A85" t="str">
        <x:v>RX-ONC-ORAL</x:v>
      </x:c>
      <x:c r="B85" t="str">
        <x:v>Product Iota</x:v>
      </x:c>
      <x:c r="C85" t="str">
        <x:v>Quality Warehouse A</x:v>
      </x:c>
      <x:c r="D85" t="str">
        <x:v>Ambient</x:v>
      </x:c>
      <x:c r="E85" s="8" t="n">
        <x:v>45726</x:v>
      </x:c>
      <x:c r="F85" s="8" t="n">
        <x:v>46803</x:v>
      </x:c>
      <x:c r="G85" s="9" t="n">
        <x:f>F85-TODAY()</x:f>
        <x:v>612</x:v>
      </x:c>
      <x:c r="H85" s="10" t="n">
        <x:f>G85/30</x:f>
        <x:v>20.4</x:v>
      </x:c>
      <x:c r="I85" t="str">
        <x:f>IF(H85&lt;3,"Critical",IF(H85&lt;=6,"Watch",IF(H85&lt;=12,"Normal","Healthy")))</x:f>
        <x:v>Healthy</x:v>
      </x:c>
      <x:c r="J85" s="11" t="n">
        <x:v>365</x:v>
      </x:c>
      <x:c r="K85" t="str">
        <x:v>Quarantine</x:v>
      </x:c>
      <x:c r="L85" s="12" t="str">
        <x:f>IF(OR(K85="Rejected",K85="Under Investigation"),"Escalate Supply Review",IF(I85="Critical",IF(MOD(ROW(),2)=0,"Commercial Discount Candidate","Redistribution Required"),IF(I85="Watch",IF(MOD(ROW(),2)=0,"Allocate to Tender Opportunity","Prioritize Current Orders"),IF(I85="Normal","Prioritize Current Orders","Normal Earliest Expiry First Rotation"))))</x:f>
        <x:v>Normal Earliest Expiry First Rotation</x:v>
      </x:c>
    </x:row>
    <x:row r="86">
      <x:c r="A86" t="str">
        <x:v>RX-RARE-INF</x:v>
      </x:c>
      <x:c r="B86" t="str">
        <x:v>Product Kappa</x:v>
      </x:c>
      <x:c r="C86" t="str">
        <x:v>Central Warehouse A</x:v>
      </x:c>
      <x:c r="D86" t="str">
        <x:v>Refrigerated (2-8 C)</x:v>
      </x:c>
      <x:c r="E86" s="8" t="n">
        <x:v>45757</x:v>
      </x:c>
      <x:c r="F86" s="8" t="n">
        <x:v>46863</x:v>
      </x:c>
      <x:c r="G86" s="9" t="n">
        <x:f>F86-TODAY()</x:f>
        <x:v>672</x:v>
      </x:c>
      <x:c r="H86" s="10" t="n">
        <x:f>G86/30</x:f>
        <x:v>22.4</x:v>
      </x:c>
      <x:c r="I86" t="str">
        <x:f>IF(H86&lt;3,"Critical",IF(H86&lt;=6,"Watch",IF(H86&lt;=12,"Normal","Healthy")))</x:f>
        <x:v>Healthy</x:v>
      </x:c>
      <x:c r="J86" s="11" t="n">
        <x:v>508</x:v>
      </x:c>
      <x:c r="K86" t="str">
        <x:v>Released for Sale</x:v>
      </x:c>
      <x:c r="L86" s="12" t="str">
        <x:f>IF(OR(K86="Rejected",K86="Under Investigation"),"Escalate Supply Review",IF(I86="Critical",IF(MOD(ROW(),2)=0,"Commercial Discount Candidate","Redistribution Required"),IF(I86="Watch",IF(MOD(ROW(),2)=0,"Allocate to Tender Opportunity","Prioritize Current Orders"),IF(I86="Normal","Prioritize Current Orders","Normal Earliest Expiry First Rotation"))))</x:f>
        <x:v>Normal Earliest Expiry First Rotation</x:v>
      </x:c>
    </x:row>
    <x:row r="87">
      <x:c r="A87" t="str">
        <x:v>DX-GENE-02</x:v>
      </x:c>
      <x:c r="B87" t="str">
        <x:v>Product Lambda</x:v>
      </x:c>
      <x:c r="C87" t="str">
        <x:v>Central Warehouse B</x:v>
      </x:c>
      <x:c r="D87" t="str">
        <x:v>Ambient</x:v>
      </x:c>
      <x:c r="E87" s="8" t="n">
        <x:v>45787</x:v>
      </x:c>
      <x:c r="F87" s="8" t="n">
        <x:v>46924</x:v>
      </x:c>
      <x:c r="G87" s="9" t="n">
        <x:f>F87-TODAY()</x:f>
        <x:v>733</x:v>
      </x:c>
      <x:c r="H87" s="10" t="n">
        <x:f>G87/30</x:f>
        <x:v>24.433333333333334</x:v>
      </x:c>
      <x:c r="I87" t="str">
        <x:f>IF(H87&lt;3,"Critical",IF(H87&lt;=6,"Watch",IF(H87&lt;=12,"Normal","Healthy")))</x:f>
        <x:v>Healthy</x:v>
      </x:c>
      <x:c r="J87" s="11" t="n">
        <x:v>651</x:v>
      </x:c>
      <x:c r="K87" t="str">
        <x:v>Released for Sale</x:v>
      </x:c>
      <x:c r="L87" s="12" t="str">
        <x:f>IF(OR(K87="Rejected",K87="Under Investigation"),"Escalate Supply Review",IF(I87="Critical",IF(MOD(ROW(),2)=0,"Commercial Discount Candidate","Redistribution Required"),IF(I87="Watch",IF(MOD(ROW(),2)=0,"Allocate to Tender Opportunity","Prioritize Current Orders"),IF(I87="Normal","Prioritize Current Orders","Normal Earliest Expiry First Rotation"))))</x:f>
        <x:v>Normal Earliest Expiry First Rotation</x:v>
      </x:c>
    </x:row>
    <x:row r="88">
      <x:c r="A88" t="str">
        <x:v>SVC-PAT-01</x:v>
      </x:c>
      <x:c r="B88" t="str">
        <x:v>Product Mu</x:v>
      </x:c>
      <x:c r="C88" t="str">
        <x:v>Regional Warehouse B</x:v>
      </x:c>
      <x:c r="D88" t="str">
        <x:v>Not Applicable</x:v>
      </x:c>
      <x:c r="E88" s="8" t="n">
        <x:v>45818</x:v>
      </x:c>
      <x:c r="F88" s="8" t="n">
        <x:v>46985</x:v>
      </x:c>
      <x:c r="G88" s="9" t="n">
        <x:f>F88-TODAY()</x:f>
        <x:v>794</x:v>
      </x:c>
      <x:c r="H88" s="10" t="n">
        <x:f>G88/30</x:f>
        <x:v>26.466666666666665</x:v>
      </x:c>
      <x:c r="I88" t="str">
        <x:f>IF(H88&lt;3,"Critical",IF(H88&lt;=6,"Watch",IF(H88&lt;=12,"Normal","Healthy")))</x:f>
        <x:v>Healthy</x:v>
      </x:c>
      <x:c r="J88" s="11" t="n">
        <x:v>794</x:v>
      </x:c>
      <x:c r="K88" t="str">
        <x:v>Under Investigation</x:v>
      </x:c>
      <x:c r="L88" s="12" t="str">
        <x:f>IF(OR(K88="Rejected",K88="Under Investigation"),"Escalate Supply Review",IF(I88="Critical",IF(MOD(ROW(),2)=0,"Commercial Discount Candidate","Redistribution Required"),IF(I88="Watch",IF(MOD(ROW(),2)=0,"Allocate to Tender Opportunity","Prioritize Current Orders"),IF(I88="Normal","Prioritize Current Orders","Normal Earliest Expiry First Rotation"))))</x:f>
        <x:v>Escalate Supply Review</x:v>
      </x:c>
    </x:row>
    <x:row r="89">
      <x:c r="A89" t="str">
        <x:v>RX-ONC-100</x:v>
      </x:c>
      <x:c r="B89" t="str">
        <x:v>Product Alpha</x:v>
      </x:c>
      <x:c r="C89" t="str">
        <x:v>Regional Warehouse B</x:v>
      </x:c>
      <x:c r="D89" t="str">
        <x:v>Refrigerated (2-8 C)</x:v>
      </x:c>
      <x:c r="E89" s="8" t="n">
        <x:v>45879</x:v>
      </x:c>
      <x:c r="F89" s="8" t="n">
        <x:v>46772</x:v>
      </x:c>
      <x:c r="G89" s="9" t="n">
        <x:f>F89-TODAY()</x:f>
        <x:v>581</x:v>
      </x:c>
      <x:c r="H89" s="10" t="n">
        <x:f>G89/30</x:f>
        <x:v>19.366666666666667</x:v>
      </x:c>
      <x:c r="I89" t="str">
        <x:f>IF(H89&lt;3,"Critical",IF(H89&lt;=6,"Watch",IF(H89&lt;=12,"Normal","Healthy")))</x:f>
        <x:v>Healthy</x:v>
      </x:c>
      <x:c r="J89" s="11" t="n">
        <x:v>1112</x:v>
      </x:c>
      <x:c r="K89" t="str">
        <x:v>Released for Sale</x:v>
      </x:c>
      <x:c r="L89" s="12" t="str">
        <x:f>IF(OR(K89="Rejected",K89="Under Investigation"),"Escalate Supply Review",IF(I89="Critical",IF(MOD(ROW(),2)=0,"Commercial Discount Candidate","Redistribution Required"),IF(I89="Watch",IF(MOD(ROW(),2)=0,"Allocate to Tender Opportunity","Prioritize Current Orders"),IF(I89="Normal","Prioritize Current Orders","Normal Earliest Expiry First Rotation"))))</x:f>
        <x:v>Normal Earliest Expiry First Rotation</x:v>
      </x:c>
    </x:row>
    <x:row r="90">
      <x:c r="A90" t="str">
        <x:v>RX-ONC-500</x:v>
      </x:c>
      <x:c r="B90" t="str">
        <x:v>Product Beta</x:v>
      </x:c>
      <x:c r="C90" t="str">
        <x:v>Central Warehouse C</x:v>
      </x:c>
      <x:c r="D90" t="str">
        <x:v>Refrigerated (2-8 C)</x:v>
      </x:c>
      <x:c r="E90" s="8" t="n">
        <x:v>45910</x:v>
      </x:c>
      <x:c r="F90" s="8" t="n">
        <x:v>46832</x:v>
      </x:c>
      <x:c r="G90" s="9" t="n">
        <x:f>F90-TODAY()</x:f>
        <x:v>641</x:v>
      </x:c>
      <x:c r="H90" s="10" t="n">
        <x:f>G90/30</x:f>
        <x:v>21.366666666666667</x:v>
      </x:c>
      <x:c r="I90" t="str">
        <x:f>IF(H90&lt;3,"Critical",IF(H90&lt;=6,"Watch",IF(H90&lt;=12,"Normal","Healthy")))</x:f>
        <x:v>Healthy</x:v>
      </x:c>
      <x:c r="J90" s="11" t="n">
        <x:v>1268</x:v>
      </x:c>
      <x:c r="K90" t="str">
        <x:v>Released for Sale</x:v>
      </x:c>
      <x:c r="L90" s="12" t="str">
        <x:f>IF(OR(K90="Rejected",K90="Under Investigation"),"Escalate Supply Review",IF(I90="Critical",IF(MOD(ROW(),2)=0,"Commercial Discount Candidate","Redistribution Required"),IF(I90="Watch",IF(MOD(ROW(),2)=0,"Allocate to Tender Opportunity","Prioritize Current Orders"),IF(I90="Normal","Prioritize Current Orders","Normal Earliest Expiry First Rotation"))))</x:f>
        <x:v>Normal Earliest Expiry First Rotation</x:v>
      </x:c>
    </x:row>
    <x:row r="91">
      <x:c r="A91" t="str">
        <x:v>BIO-RA-200</x:v>
      </x:c>
      <x:c r="B91" t="str">
        <x:v>Product Gamma</x:v>
      </x:c>
      <x:c r="C91" t="str">
        <x:v>Quality Warehouse A</x:v>
      </x:c>
      <x:c r="D91" t="str">
        <x:v>Refrigerated (2-8 C)</x:v>
      </x:c>
      <x:c r="E91" s="8" t="n">
        <x:v>45940</x:v>
      </x:c>
      <x:c r="F91" s="8" t="n">
        <x:v>46893</x:v>
      </x:c>
      <x:c r="G91" s="9" t="n">
        <x:f>F91-TODAY()</x:f>
        <x:v>702</x:v>
      </x:c>
      <x:c r="H91" s="10" t="n">
        <x:f>G91/30</x:f>
        <x:v>23.4</x:v>
      </x:c>
      <x:c r="I91" t="str">
        <x:f>IF(H91&lt;3,"Critical",IF(H91&lt;=6,"Watch",IF(H91&lt;=12,"Normal","Healthy")))</x:f>
        <x:v>Healthy</x:v>
      </x:c>
      <x:c r="J91" s="11" t="n">
        <x:v>1424</x:v>
      </x:c>
      <x:c r="K91" t="str">
        <x:v>Under Investigation</x:v>
      </x:c>
      <x:c r="L91" s="12" t="str">
        <x:f>IF(OR(K91="Rejected",K91="Under Investigation"),"Escalate Supply Review",IF(I91="Critical",IF(MOD(ROW(),2)=0,"Commercial Discount Candidate","Redistribution Required"),IF(I91="Watch",IF(MOD(ROW(),2)=0,"Allocate to Tender Opportunity","Prioritize Current Orders"),IF(I91="Normal","Prioritize Current Orders","Normal Earliest Expiry First Rotation"))))</x:f>
        <x:v>Escalate Supply Review</x:v>
      </x:c>
    </x:row>
    <x:row r="92">
      <x:c r="A92" t="str">
        <x:v>RX-CARD-50</x:v>
      </x:c>
      <x:c r="B92" t="str">
        <x:v>Product Delta</x:v>
      </x:c>
      <x:c r="C92" t="str">
        <x:v>Central Warehouse A</x:v>
      </x:c>
      <x:c r="D92" t="str">
        <x:v>Ambient</x:v>
      </x:c>
      <x:c r="E92" s="8" t="n">
        <x:v>45971</x:v>
      </x:c>
      <x:c r="F92" s="8" t="n">
        <x:v>46954</x:v>
      </x:c>
      <x:c r="G92" s="9" t="n">
        <x:f>F92-TODAY()</x:f>
        <x:v>763</x:v>
      </x:c>
      <x:c r="H92" s="10" t="n">
        <x:f>G92/30</x:f>
        <x:v>25.433333333333334</x:v>
      </x:c>
      <x:c r="I92" t="str">
        <x:f>IF(H92&lt;3,"Critical",IF(H92&lt;=6,"Watch",IF(H92&lt;=12,"Normal","Healthy")))</x:f>
        <x:v>Healthy</x:v>
      </x:c>
      <x:c r="J92" s="11" t="n">
        <x:v>1580</x:v>
      </x:c>
      <x:c r="K92" t="str">
        <x:v>Quarantine</x:v>
      </x:c>
      <x:c r="L92" s="12" t="str">
        <x:f>IF(OR(K92="Rejected",K92="Under Investigation"),"Escalate Supply Review",IF(I92="Critical",IF(MOD(ROW(),2)=0,"Commercial Discount Candidate","Redistribution Required"),IF(I92="Watch",IF(MOD(ROW(),2)=0,"Allocate to Tender Opportunity","Prioritize Current Orders"),IF(I92="Normal","Prioritize Current Orders","Normal Earliest Expiry First Rotation"))))</x:f>
        <x:v>Normal Earliest Expiry First Rotation</x:v>
      </x:c>
    </x:row>
    <x:row r="93">
      <x:c r="A93" t="str">
        <x:v>RX-RARE-10</x:v>
      </x:c>
      <x:c r="B93" t="str">
        <x:v>Product Epsilon</x:v>
      </x:c>
      <x:c r="C93" t="str">
        <x:v>Central Warehouse B</x:v>
      </x:c>
      <x:c r="D93" t="str">
        <x:v>Refrigerated (2-8 C)</x:v>
      </x:c>
      <x:c r="E93" s="8" t="n">
        <x:v>46001</x:v>
      </x:c>
      <x:c r="F93" s="8" t="n">
        <x:v>47016</x:v>
      </x:c>
      <x:c r="G93" s="9" t="n">
        <x:f>F93-TODAY()</x:f>
        <x:v>825</x:v>
      </x:c>
      <x:c r="H93" s="10" t="n">
        <x:f>G93/30</x:f>
        <x:v>27.5</x:v>
      </x:c>
      <x:c r="I93" t="str">
        <x:f>IF(H93&lt;3,"Critical",IF(H93&lt;=6,"Watch",IF(H93&lt;=12,"Normal","Healthy")))</x:f>
        <x:v>Healthy</x:v>
      </x:c>
      <x:c r="J93" s="11" t="n">
        <x:v>1736</x:v>
      </x:c>
      <x:c r="K93" t="str">
        <x:v>Released for Sale</x:v>
      </x:c>
      <x:c r="L93" s="12" t="str">
        <x:f>IF(OR(K93="Rejected",K93="Under Investigation"),"Escalate Supply Review",IF(I93="Critical",IF(MOD(ROW(),2)=0,"Commercial Discount Candidate","Redistribution Required"),IF(I93="Watch",IF(MOD(ROW(),2)=0,"Allocate to Tender Opportunity","Prioritize Current Orders"),IF(I93="Normal","Prioritize Current Orders","Normal Earliest Expiry First Rotation"))))</x:f>
        <x:v>Normal Earliest Expiry First Rotation</x:v>
      </x:c>
    </x:row>
    <x:row r="94">
      <x:c r="A94" t="str">
        <x:v>DX-COMP-01</x:v>
      </x:c>
      <x:c r="B94" t="str">
        <x:v>Product Zeta</x:v>
      </x:c>
      <x:c r="C94" t="str">
        <x:v>Regional Warehouse B</x:v>
      </x:c>
      <x:c r="D94" t="str">
        <x:v>Ambient</x:v>
      </x:c>
      <x:c r="E94" s="8" t="n">
        <x:v>45667</x:v>
      </x:c>
      <x:c r="F94" s="8" t="n">
        <x:v>46711</x:v>
      </x:c>
      <x:c r="G94" s="9" t="n">
        <x:f>F94-TODAY()</x:f>
        <x:v>520</x:v>
      </x:c>
      <x:c r="H94" s="10" t="n">
        <x:f>G94/30</x:f>
        <x:v>17.333333333333332</x:v>
      </x:c>
      <x:c r="I94" t="str">
        <x:f>IF(H94&lt;3,"Critical",IF(H94&lt;=6,"Watch",IF(H94&lt;=12,"Normal","Healthy")))</x:f>
        <x:v>Healthy</x:v>
      </x:c>
      <x:c r="J94" s="11" t="n">
        <x:v>92</x:v>
      </x:c>
      <x:c r="K94" t="str">
        <x:v>Released for Sale</x:v>
      </x:c>
      <x:c r="L94" s="12" t="str">
        <x:f>IF(OR(K94="Rejected",K94="Under Investigation"),"Escalate Supply Review",IF(I94="Critical",IF(MOD(ROW(),2)=0,"Commercial Discount Candidate","Redistribution Required"),IF(I94="Watch",IF(MOD(ROW(),2)=0,"Allocate to Tender Opportunity","Prioritize Current Orders"),IF(I94="Normal","Prioritize Current Orders","Normal Earliest Expiry First Rotation"))))</x:f>
        <x:v>Normal Earliest Expiry First Rotation</x:v>
      </x:c>
    </x:row>
    <x:row r="95">
      <x:c r="A95" t="str">
        <x:v>RX-HOSP-20</x:v>
      </x:c>
      <x:c r="B95" t="str">
        <x:v>Product Eta</x:v>
      </x:c>
      <x:c r="C95" t="str">
        <x:v>Central Warehouse C</x:v>
      </x:c>
      <x:c r="D95" t="str">
        <x:v>Ambient</x:v>
      </x:c>
      <x:c r="E95" s="8" t="n">
        <x:v>45698</x:v>
      </x:c>
      <x:c r="F95" s="8" t="n">
        <x:v>46772</x:v>
      </x:c>
      <x:c r="G95" s="9" t="n">
        <x:f>F95-TODAY()</x:f>
        <x:v>581</x:v>
      </x:c>
      <x:c r="H95" s="10" t="n">
        <x:f>G95/30</x:f>
        <x:v>19.366666666666667</x:v>
      </x:c>
      <x:c r="I95" t="str">
        <x:f>IF(H95&lt;3,"Critical",IF(H95&lt;=6,"Watch",IF(H95&lt;=12,"Normal","Healthy")))</x:f>
        <x:v>Healthy</x:v>
      </x:c>
      <x:c r="J95" s="11" t="n">
        <x:v>248</x:v>
      </x:c>
      <x:c r="K95" t="str">
        <x:v>Under Investigation</x:v>
      </x:c>
      <x:c r="L95" s="12" t="str">
        <x:f>IF(OR(K95="Rejected",K95="Under Investigation"),"Escalate Supply Review",IF(I95="Critical",IF(MOD(ROW(),2)=0,"Commercial Discount Candidate","Redistribution Required"),IF(I95="Watch",IF(MOD(ROW(),2)=0,"Allocate to Tender Opportunity","Prioritize Current Orders"),IF(I95="Normal","Prioritize Current Orders","Normal Earliest Expiry First Rotation"))))</x:f>
        <x:v>Escalate Supply Review</x:v>
      </x:c>
    </x:row>
    <x:row r="96">
      <x:c r="A96" t="str">
        <x:v>BIO-DERM-80</x:v>
      </x:c>
      <x:c r="B96" t="str">
        <x:v>Product Theta</x:v>
      </x:c>
      <x:c r="C96" t="str">
        <x:v>Quality Warehouse A</x:v>
      </x:c>
      <x:c r="D96" t="str">
        <x:v>Refrigerated (2-8 C)</x:v>
      </x:c>
      <x:c r="E96" s="8" t="n">
        <x:v>45726</x:v>
      </x:c>
      <x:c r="F96" s="8" t="n">
        <x:v>46832</x:v>
      </x:c>
      <x:c r="G96" s="9" t="n">
        <x:f>F96-TODAY()</x:f>
        <x:v>641</x:v>
      </x:c>
      <x:c r="H96" s="10" t="n">
        <x:f>G96/30</x:f>
        <x:v>21.366666666666667</x:v>
      </x:c>
      <x:c r="I96" t="str">
        <x:f>IF(H96&lt;3,"Critical",IF(H96&lt;=6,"Watch",IF(H96&lt;=12,"Normal","Healthy")))</x:f>
        <x:v>Healthy</x:v>
      </x:c>
      <x:c r="J96" s="11" t="n">
        <x:v>404</x:v>
      </x:c>
      <x:c r="K96" t="str">
        <x:v>Quarantine</x:v>
      </x:c>
      <x:c r="L96" s="12" t="str">
        <x:f>IF(OR(K96="Rejected",K96="Under Investigation"),"Escalate Supply Review",IF(I96="Critical",IF(MOD(ROW(),2)=0,"Commercial Discount Candidate","Redistribution Required"),IF(I96="Watch",IF(MOD(ROW(),2)=0,"Allocate to Tender Opportunity","Prioritize Current Orders"),IF(I96="Normal","Prioritize Current Orders","Normal Earliest Expiry First Rotation"))))</x:f>
        <x:v>Normal Earliest Expiry First Rotation</x:v>
      </x:c>
    </x:row>
    <x:row r="97">
      <x:c r="A97" t="str">
        <x:v>RX-ONC-ORAL</x:v>
      </x:c>
      <x:c r="B97" t="str">
        <x:v>Product Iota</x:v>
      </x:c>
      <x:c r="C97" t="str">
        <x:v>Central Warehouse A</x:v>
      </x:c>
      <x:c r="D97" t="str">
        <x:v>Ambient</x:v>
      </x:c>
      <x:c r="E97" s="8" t="n">
        <x:v>45757</x:v>
      </x:c>
      <x:c r="F97" s="8" t="n">
        <x:v>46893</x:v>
      </x:c>
      <x:c r="G97" s="9" t="n">
        <x:f>F97-TODAY()</x:f>
        <x:v>702</x:v>
      </x:c>
      <x:c r="H97" s="10" t="n">
        <x:f>G97/30</x:f>
        <x:v>23.4</x:v>
      </x:c>
      <x:c r="I97" t="str">
        <x:f>IF(H97&lt;3,"Critical",IF(H97&lt;=6,"Watch",IF(H97&lt;=12,"Normal","Healthy")))</x:f>
        <x:v>Healthy</x:v>
      </x:c>
      <x:c r="J97" s="11" t="n">
        <x:v>560</x:v>
      </x:c>
      <x:c r="K97" t="str">
        <x:v>Released for Sale</x:v>
      </x:c>
      <x:c r="L97" s="12" t="str">
        <x:f>IF(OR(K97="Rejected",K97="Under Investigation"),"Escalate Supply Review",IF(I97="Critical",IF(MOD(ROW(),2)=0,"Commercial Discount Candidate","Redistribution Required"),IF(I97="Watch",IF(MOD(ROW(),2)=0,"Allocate to Tender Opportunity","Prioritize Current Orders"),IF(I97="Normal","Prioritize Current Orders","Normal Earliest Expiry First Rotation"))))</x:f>
        <x:v>Normal Earliest Expiry First Rotation</x:v>
      </x:c>
    </x:row>
    <x:row r="98">
      <x:c r="A98" t="str">
        <x:v>RX-RARE-INF</x:v>
      </x:c>
      <x:c r="B98" t="str">
        <x:v>Product Kappa</x:v>
      </x:c>
      <x:c r="C98" t="str">
        <x:v>Central Warehouse B</x:v>
      </x:c>
      <x:c r="D98" t="str">
        <x:v>Refrigerated (2-8 C)</x:v>
      </x:c>
      <x:c r="E98" s="8" t="n">
        <x:v>45787</x:v>
      </x:c>
      <x:c r="F98" s="8" t="n">
        <x:v>46954</x:v>
      </x:c>
      <x:c r="G98" s="9" t="n">
        <x:f>F98-TODAY()</x:f>
        <x:v>763</x:v>
      </x:c>
      <x:c r="H98" s="10" t="n">
        <x:f>G98/30</x:f>
        <x:v>25.433333333333334</x:v>
      </x:c>
      <x:c r="I98" t="str">
        <x:f>IF(H98&lt;3,"Critical",IF(H98&lt;=6,"Watch",IF(H98&lt;=12,"Normal","Healthy")))</x:f>
        <x:v>Healthy</x:v>
      </x:c>
      <x:c r="J98" s="11" t="n">
        <x:v>716</x:v>
      </x:c>
      <x:c r="K98" t="str">
        <x:v>Released for Sale</x:v>
      </x:c>
      <x:c r="L98" s="12" t="str">
        <x:f>IF(OR(K98="Rejected",K98="Under Investigation"),"Escalate Supply Review",IF(I98="Critical",IF(MOD(ROW(),2)=0,"Commercial Discount Candidate","Redistribution Required"),IF(I98="Watch",IF(MOD(ROW(),2)=0,"Allocate to Tender Opportunity","Prioritize Current Orders"),IF(I98="Normal","Prioritize Current Orders","Normal Earliest Expiry First Rotation"))))</x:f>
        <x:v>Normal Earliest Expiry First Rotation</x:v>
      </x:c>
    </x:row>
    <x:row r="99">
      <x:c r="A99" t="str">
        <x:v>DX-GENE-02</x:v>
      </x:c>
      <x:c r="B99" t="str">
        <x:v>Product Lambda</x:v>
      </x:c>
      <x:c r="C99" t="str">
        <x:v>Regional Warehouse B</x:v>
      </x:c>
      <x:c r="D99" t="str">
        <x:v>Ambient</x:v>
      </x:c>
      <x:c r="E99" s="8" t="n">
        <x:v>45818</x:v>
      </x:c>
      <x:c r="F99" s="8" t="n">
        <x:v>47016</x:v>
      </x:c>
      <x:c r="G99" s="9" t="n">
        <x:f>F99-TODAY()</x:f>
        <x:v>825</x:v>
      </x:c>
      <x:c r="H99" s="10" t="n">
        <x:f>G99/30</x:f>
        <x:v>27.5</x:v>
      </x:c>
      <x:c r="I99" t="str">
        <x:f>IF(H99&lt;3,"Critical",IF(H99&lt;=6,"Watch",IF(H99&lt;=12,"Normal","Healthy")))</x:f>
        <x:v>Healthy</x:v>
      </x:c>
      <x:c r="J99" s="11" t="n">
        <x:v>872</x:v>
      </x:c>
      <x:c r="K99" t="str">
        <x:v>Under Investigation</x:v>
      </x:c>
      <x:c r="L99" s="12" t="str">
        <x:f>IF(OR(K99="Rejected",K99="Under Investigation"),"Escalate Supply Review",IF(I99="Critical",IF(MOD(ROW(),2)=0,"Commercial Discount Candidate","Redistribution Required"),IF(I99="Watch",IF(MOD(ROW(),2)=0,"Allocate to Tender Opportunity","Prioritize Current Orders"),IF(I99="Normal","Prioritize Current Orders","Normal Earliest Expiry First Rotation"))))</x:f>
        <x:v>Escalate Supply Review</x:v>
      </x:c>
    </x:row>
    <x:row r="100">
      <x:c r="A100" t="str">
        <x:v>SVC-PAT-01</x:v>
      </x:c>
      <x:c r="B100" t="str">
        <x:v>Product Mu</x:v>
      </x:c>
      <x:c r="C100" t="str">
        <x:v>Central Warehouse C</x:v>
      </x:c>
      <x:c r="D100" t="str">
        <x:v>Not Applicable</x:v>
      </x:c>
      <x:c r="E100" s="8" t="n">
        <x:v>45848</x:v>
      </x:c>
      <x:c r="F100" s="8" t="n">
        <x:v>47077</x:v>
      </x:c>
      <x:c r="G100" s="9" t="n">
        <x:f>F100-TODAY()</x:f>
        <x:v>886</x:v>
      </x:c>
      <x:c r="H100" s="10" t="n">
        <x:f>G100/30</x:f>
        <x:v>29.533333333333335</x:v>
      </x:c>
      <x:c r="I100" t="str">
        <x:f>IF(H100&lt;3,"Critical",IF(H100&lt;=6,"Watch",IF(H100&lt;=12,"Normal","Healthy")))</x:f>
        <x:v>Healthy</x:v>
      </x:c>
      <x:c r="J100" s="11" t="n">
        <x:v>1028</x:v>
      </x:c>
      <x:c r="K100" t="str">
        <x:v>Quarantine</x:v>
      </x:c>
      <x:c r="L100" s="12" t="str">
        <x:f>IF(OR(K100="Rejected",K100="Under Investigation"),"Escalate Supply Review",IF(I100="Critical",IF(MOD(ROW(),2)=0,"Commercial Discount Candidate","Redistribution Required"),IF(I100="Watch",IF(MOD(ROW(),2)=0,"Allocate to Tender Opportunity","Prioritize Current Orders"),IF(I100="Normal","Prioritize Current Orders","Normal Earliest Expiry First Rotation"))))</x:f>
        <x:v>Normal Earliest Expiry First Rotation</x:v>
      </x:c>
    </x:row>
    <x:row r="101">
      <x:c r="A101" t="str">
        <x:v>RX-ONC-100</x:v>
      </x:c>
      <x:c r="B101" t="str">
        <x:v>Product Alpha</x:v>
      </x:c>
      <x:c r="C101" t="str">
        <x:v>Central Warehouse C</x:v>
      </x:c>
      <x:c r="D101" t="str">
        <x:v>Refrigerated (2-8 C)</x:v>
      </x:c>
      <x:c r="E101" s="8" t="n">
        <x:v>45910</x:v>
      </x:c>
      <x:c r="F101" s="8" t="n">
        <x:v>46863</x:v>
      </x:c>
      <x:c r="G101" s="9" t="n">
        <x:f>F101-TODAY()</x:f>
        <x:v>672</x:v>
      </x:c>
      <x:c r="H101" s="10" t="n">
        <x:f>G101/30</x:f>
        <x:v>22.4</x:v>
      </x:c>
      <x:c r="I101" t="str">
        <x:f>IF(H101&lt;3,"Critical",IF(H101&lt;=6,"Watch",IF(H101&lt;=12,"Normal","Healthy")))</x:f>
        <x:v>Healthy</x:v>
      </x:c>
      <x:c r="J101" s="11" t="n">
        <x:v>1203</x:v>
      </x:c>
      <x:c r="K101" t="str">
        <x:v>Released for Sale</x:v>
      </x:c>
      <x:c r="L101" s="12" t="str">
        <x:f>IF(OR(K101="Rejected",K101="Under Investigation"),"Escalate Supply Review",IF(I101="Critical",IF(MOD(ROW(),2)=0,"Commercial Discount Candidate","Redistribution Required"),IF(I101="Watch",IF(MOD(ROW(),2)=0,"Allocate to Tender Opportunity","Prioritize Current Orders"),IF(I101="Normal","Prioritize Current Orders","Normal Earliest Expiry First Rotation"))))</x:f>
        <x:v>Normal Earliest Expiry First Rotation</x:v>
      </x:c>
    </x:row>
    <x:row r="102">
      <x:c r="A102" t="str">
        <x:v>RX-ONC-500</x:v>
      </x:c>
      <x:c r="B102" t="str">
        <x:v>Product Beta</x:v>
      </x:c>
      <x:c r="C102" t="str">
        <x:v>Quality Warehouse A</x:v>
      </x:c>
      <x:c r="D102" t="str">
        <x:v>Refrigerated (2-8 C)</x:v>
      </x:c>
      <x:c r="E102" s="8" t="n">
        <x:v>45940</x:v>
      </x:c>
      <x:c r="F102" s="8" t="n">
        <x:v>46924</x:v>
      </x:c>
      <x:c r="G102" s="9" t="n">
        <x:f>F102-TODAY()</x:f>
        <x:v>733</x:v>
      </x:c>
      <x:c r="H102" s="10" t="n">
        <x:f>G102/30</x:f>
        <x:v>24.433333333333334</x:v>
      </x:c>
      <x:c r="I102" t="str">
        <x:f>IF(H102&lt;3,"Critical",IF(H102&lt;=6,"Watch",IF(H102&lt;=12,"Normal","Healthy")))</x:f>
        <x:v>Healthy</x:v>
      </x:c>
      <x:c r="J102" s="11" t="n">
        <x:v>1372</x:v>
      </x:c>
      <x:c r="K102" t="str">
        <x:v>Under Investigation</x:v>
      </x:c>
      <x:c r="L102" s="12" t="str">
        <x:f>IF(OR(K102="Rejected",K102="Under Investigation"),"Escalate Supply Review",IF(I102="Critical",IF(MOD(ROW(),2)=0,"Commercial Discount Candidate","Redistribution Required"),IF(I102="Watch",IF(MOD(ROW(),2)=0,"Allocate to Tender Opportunity","Prioritize Current Orders"),IF(I102="Normal","Prioritize Current Orders","Normal Earliest Expiry First Rotation"))))</x:f>
        <x:v>Escalate Supply Review</x:v>
      </x:c>
    </x:row>
    <x:row r="103">
      <x:c r="A103" t="str">
        <x:v>BIO-RA-200</x:v>
      </x:c>
      <x:c r="B103" t="str">
        <x:v>Product Gamma</x:v>
      </x:c>
      <x:c r="C103" t="str">
        <x:v>Central Warehouse A</x:v>
      </x:c>
      <x:c r="D103" t="str">
        <x:v>Refrigerated (2-8 C)</x:v>
      </x:c>
      <x:c r="E103" s="8" t="n">
        <x:v>45971</x:v>
      </x:c>
      <x:c r="F103" s="8" t="n">
        <x:v>46985</x:v>
      </x:c>
      <x:c r="G103" s="9" t="n">
        <x:f>F103-TODAY()</x:f>
        <x:v>794</x:v>
      </x:c>
      <x:c r="H103" s="10" t="n">
        <x:f>G103/30</x:f>
        <x:v>26.466666666666665</x:v>
      </x:c>
      <x:c r="I103" t="str">
        <x:f>IF(H103&lt;3,"Critical",IF(H103&lt;=6,"Watch",IF(H103&lt;=12,"Normal","Healthy")))</x:f>
        <x:v>Healthy</x:v>
      </x:c>
      <x:c r="J103" s="11" t="n">
        <x:v>1541</x:v>
      </x:c>
      <x:c r="K103" t="str">
        <x:v>Quarantine</x:v>
      </x:c>
      <x:c r="L103" s="12" t="str">
        <x:f>IF(OR(K103="Rejected",K103="Under Investigation"),"Escalate Supply Review",IF(I103="Critical",IF(MOD(ROW(),2)=0,"Commercial Discount Candidate","Redistribution Required"),IF(I103="Watch",IF(MOD(ROW(),2)=0,"Allocate to Tender Opportunity","Prioritize Current Orders"),IF(I103="Normal","Prioritize Current Orders","Normal Earliest Expiry First Rotation"))))</x:f>
        <x:v>Normal Earliest Expiry First Rotation</x:v>
      </x:c>
    </x:row>
    <x:row r="104">
      <x:c r="A104" t="str">
        <x:v>RX-CARD-50</x:v>
      </x:c>
      <x:c r="B104" t="str">
        <x:v>Product Delta</x:v>
      </x:c>
      <x:c r="C104" t="str">
        <x:v>Central Warehouse B</x:v>
      </x:c>
      <x:c r="D104" t="str">
        <x:v>Ambient</x:v>
      </x:c>
      <x:c r="E104" s="8" t="n">
        <x:v>46001</x:v>
      </x:c>
      <x:c r="F104" s="8" t="n">
        <x:v>47046</x:v>
      </x:c>
      <x:c r="G104" s="9" t="n">
        <x:f>F104-TODAY()</x:f>
        <x:v>855</x:v>
      </x:c>
      <x:c r="H104" s="10" t="n">
        <x:f>G104/30</x:f>
        <x:v>28.5</x:v>
      </x:c>
      <x:c r="I104" t="str">
        <x:f>IF(H104&lt;3,"Critical",IF(H104&lt;=6,"Watch",IF(H104&lt;=12,"Normal","Healthy")))</x:f>
        <x:v>Healthy</x:v>
      </x:c>
      <x:c r="J104" s="11" t="n">
        <x:v>1710</x:v>
      </x:c>
      <x:c r="K104" t="str">
        <x:v>Released for Sale</x:v>
      </x:c>
      <x:c r="L104" s="12" t="str">
        <x:f>IF(OR(K104="Rejected",K104="Under Investigation"),"Escalate Supply Review",IF(I104="Critical",IF(MOD(ROW(),2)=0,"Commercial Discount Candidate","Redistribution Required"),IF(I104="Watch",IF(MOD(ROW(),2)=0,"Allocate to Tender Opportunity","Prioritize Current Orders"),IF(I104="Normal","Prioritize Current Orders","Normal Earliest Expiry First Rotation"))))</x:f>
        <x:v>Normal Earliest Expiry First Rotation</x:v>
      </x:c>
    </x:row>
    <x:row r="105">
      <x:c r="A105" t="str">
        <x:v>RX-RARE-10</x:v>
      </x:c>
      <x:c r="B105" t="str">
        <x:v>Product Epsilon</x:v>
      </x:c>
      <x:c r="C105" t="str">
        <x:v>Regional Warehouse B</x:v>
      </x:c>
      <x:c r="D105" t="str">
        <x:v>Refrigerated (2-8 C)</x:v>
      </x:c>
      <x:c r="E105" s="8" t="n">
        <x:v>45667</x:v>
      </x:c>
      <x:c r="F105" s="8" t="n">
        <x:v>46741</x:v>
      </x:c>
      <x:c r="G105" s="9" t="n">
        <x:f>F105-TODAY()</x:f>
        <x:v>550</x:v>
      </x:c>
      <x:c r="H105" s="10" t="n">
        <x:f>G105/30</x:f>
        <x:v>18.333333333333332</x:v>
      </x:c>
      <x:c r="I105" t="str">
        <x:f>IF(H105&lt;3,"Critical",IF(H105&lt;=6,"Watch",IF(H105&lt;=12,"Normal","Healthy")))</x:f>
        <x:v>Healthy</x:v>
      </x:c>
      <x:c r="J105" s="11" t="n">
        <x:v>79</x:v>
      </x:c>
      <x:c r="K105" t="str">
        <x:v>Released for Sale</x:v>
      </x:c>
      <x:c r="L105" s="12" t="str">
        <x:f>IF(OR(K105="Rejected",K105="Under Investigation"),"Escalate Supply Review",IF(I105="Critical",IF(MOD(ROW(),2)=0,"Commercial Discount Candidate","Redistribution Required"),IF(I105="Watch",IF(MOD(ROW(),2)=0,"Allocate to Tender Opportunity","Prioritize Current Orders"),IF(I105="Normal","Prioritize Current Orders","Normal Earliest Expiry First Rotation"))))</x:f>
        <x:v>Normal Earliest Expiry First Rotation</x:v>
      </x:c>
    </x:row>
    <x:row r="106">
      <x:c r="A106" t="str">
        <x:v>DX-COMP-01</x:v>
      </x:c>
      <x:c r="B106" t="str">
        <x:v>Product Zeta</x:v>
      </x:c>
      <x:c r="C106" t="str">
        <x:v>Central Warehouse C</x:v>
      </x:c>
      <x:c r="D106" t="str">
        <x:v>Ambient</x:v>
      </x:c>
      <x:c r="E106" s="8" t="n">
        <x:v>45698</x:v>
      </x:c>
      <x:c r="F106" s="8" t="n">
        <x:v>46803</x:v>
      </x:c>
      <x:c r="G106" s="9" t="n">
        <x:f>F106-TODAY()</x:f>
        <x:v>612</x:v>
      </x:c>
      <x:c r="H106" s="10" t="n">
        <x:f>G106/30</x:f>
        <x:v>20.4</x:v>
      </x:c>
      <x:c r="I106" t="str">
        <x:f>IF(H106&lt;3,"Critical",IF(H106&lt;=6,"Watch",IF(H106&lt;=12,"Normal","Healthy")))</x:f>
        <x:v>Healthy</x:v>
      </x:c>
      <x:c r="J106" s="11" t="n">
        <x:v>248</x:v>
      </x:c>
      <x:c r="K106" t="str">
        <x:v>Under Investigation</x:v>
      </x:c>
      <x:c r="L106" s="12" t="str">
        <x:f>IF(OR(K106="Rejected",K106="Under Investigation"),"Escalate Supply Review",IF(I106="Critical",IF(MOD(ROW(),2)=0,"Commercial Discount Candidate","Redistribution Required"),IF(I106="Watch",IF(MOD(ROW(),2)=0,"Allocate to Tender Opportunity","Prioritize Current Orders"),IF(I106="Normal","Prioritize Current Orders","Normal Earliest Expiry First Rotation"))))</x:f>
        <x:v>Escalate Supply Review</x:v>
      </x:c>
    </x:row>
    <x:row r="107">
      <x:c r="A107" t="str">
        <x:v>RX-HOSP-20</x:v>
      </x:c>
      <x:c r="B107" t="str">
        <x:v>Product Eta</x:v>
      </x:c>
      <x:c r="C107" t="str">
        <x:v>Quality Warehouse A</x:v>
      </x:c>
      <x:c r="D107" t="str">
        <x:v>Ambient</x:v>
      </x:c>
      <x:c r="E107" s="8" t="n">
        <x:v>45726</x:v>
      </x:c>
      <x:c r="F107" s="8" t="n">
        <x:v>46863</x:v>
      </x:c>
      <x:c r="G107" s="9" t="n">
        <x:f>F107-TODAY()</x:f>
        <x:v>672</x:v>
      </x:c>
      <x:c r="H107" s="10" t="n">
        <x:f>G107/30</x:f>
        <x:v>22.4</x:v>
      </x:c>
      <x:c r="I107" t="str">
        <x:f>IF(H107&lt;3,"Critical",IF(H107&lt;=6,"Watch",IF(H107&lt;=12,"Normal","Healthy")))</x:f>
        <x:v>Healthy</x:v>
      </x:c>
      <x:c r="J107" s="11" t="n">
        <x:v>417</x:v>
      </x:c>
      <x:c r="K107" t="str">
        <x:v>Quarantine</x:v>
      </x:c>
      <x:c r="L107" s="12" t="str">
        <x:f>IF(OR(K107="Rejected",K107="Under Investigation"),"Escalate Supply Review",IF(I107="Critical",IF(MOD(ROW(),2)=0,"Commercial Discount Candidate","Redistribution Required"),IF(I107="Watch",IF(MOD(ROW(),2)=0,"Allocate to Tender Opportunity","Prioritize Current Orders"),IF(I107="Normal","Prioritize Current Orders","Normal Earliest Expiry First Rotation"))))</x:f>
        <x:v>Normal Earliest Expiry First Rotation</x:v>
      </x:c>
    </x:row>
    <x:row r="108">
      <x:c r="A108" t="str">
        <x:v>BIO-DERM-80</x:v>
      </x:c>
      <x:c r="B108" t="str">
        <x:v>Product Theta</x:v>
      </x:c>
      <x:c r="C108" t="str">
        <x:v>Central Warehouse A</x:v>
      </x:c>
      <x:c r="D108" t="str">
        <x:v>Refrigerated (2-8 C)</x:v>
      </x:c>
      <x:c r="E108" s="8" t="n">
        <x:v>45757</x:v>
      </x:c>
      <x:c r="F108" s="8" t="n">
        <x:v>46924</x:v>
      </x:c>
      <x:c r="G108" s="9" t="n">
        <x:f>F108-TODAY()</x:f>
        <x:v>733</x:v>
      </x:c>
      <x:c r="H108" s="10" t="n">
        <x:f>G108/30</x:f>
        <x:v>24.433333333333334</x:v>
      </x:c>
      <x:c r="I108" t="str">
        <x:f>IF(H108&lt;3,"Critical",IF(H108&lt;=6,"Watch",IF(H108&lt;=12,"Normal","Healthy")))</x:f>
        <x:v>Healthy</x:v>
      </x:c>
      <x:c r="J108" s="11" t="n">
        <x:v>586</x:v>
      </x:c>
      <x:c r="K108" t="str">
        <x:v>Released for Sale</x:v>
      </x:c>
      <x:c r="L108" s="12" t="str">
        <x:f>IF(OR(K108="Rejected",K108="Under Investigation"),"Escalate Supply Review",IF(I108="Critical",IF(MOD(ROW(),2)=0,"Commercial Discount Candidate","Redistribution Required"),IF(I108="Watch",IF(MOD(ROW(),2)=0,"Allocate to Tender Opportunity","Prioritize Current Orders"),IF(I108="Normal","Prioritize Current Orders","Normal Earliest Expiry First Rotation"))))</x:f>
        <x:v>Normal Earliest Expiry First Rotation</x:v>
      </x:c>
    </x:row>
    <x:row r="109">
      <x:c r="A109" t="str">
        <x:v>RX-ONC-ORAL</x:v>
      </x:c>
      <x:c r="B109" t="str">
        <x:v>Product Iota</x:v>
      </x:c>
      <x:c r="C109" t="str">
        <x:v>Central Warehouse B</x:v>
      </x:c>
      <x:c r="D109" t="str">
        <x:v>Ambient</x:v>
      </x:c>
      <x:c r="E109" s="8" t="n">
        <x:v>45787</x:v>
      </x:c>
      <x:c r="F109" s="8" t="n">
        <x:v>46985</x:v>
      </x:c>
      <x:c r="G109" s="9" t="n">
        <x:f>F109-TODAY()</x:f>
        <x:v>794</x:v>
      </x:c>
      <x:c r="H109" s="10" t="n">
        <x:f>G109/30</x:f>
        <x:v>26.466666666666665</x:v>
      </x:c>
      <x:c r="I109" t="str">
        <x:f>IF(H109&lt;3,"Critical",IF(H109&lt;=6,"Watch",IF(H109&lt;=12,"Normal","Healthy")))</x:f>
        <x:v>Healthy</x:v>
      </x:c>
      <x:c r="J109" s="11" t="n">
        <x:v>755</x:v>
      </x:c>
      <x:c r="K109" t="str">
        <x:v>Released for Sale</x:v>
      </x:c>
      <x:c r="L109" s="12" t="str">
        <x:f>IF(OR(K109="Rejected",K109="Under Investigation"),"Escalate Supply Review",IF(I109="Critical",IF(MOD(ROW(),2)=0,"Commercial Discount Candidate","Redistribution Required"),IF(I109="Watch",IF(MOD(ROW(),2)=0,"Allocate to Tender Opportunity","Prioritize Current Orders"),IF(I109="Normal","Prioritize Current Orders","Normal Earliest Expiry First Rotation"))))</x:f>
        <x:v>Normal Earliest Expiry First Rotation</x:v>
      </x:c>
    </x:row>
    <x:row r="110">
      <x:c r="A110" t="str">
        <x:v>RX-RARE-INF</x:v>
      </x:c>
      <x:c r="B110" t="str">
        <x:v>Product Kappa</x:v>
      </x:c>
      <x:c r="C110" t="str">
        <x:v>Regional Warehouse B</x:v>
      </x:c>
      <x:c r="D110" t="str">
        <x:v>Refrigerated (2-8 C)</x:v>
      </x:c>
      <x:c r="E110" s="8" t="n">
        <x:v>45818</x:v>
      </x:c>
      <x:c r="F110" s="8" t="n">
        <x:v>47046</x:v>
      </x:c>
      <x:c r="G110" s="9" t="n">
        <x:f>F110-TODAY()</x:f>
        <x:v>855</x:v>
      </x:c>
      <x:c r="H110" s="10" t="n">
        <x:f>G110/30</x:f>
        <x:v>28.5</x:v>
      </x:c>
      <x:c r="I110" t="str">
        <x:f>IF(H110&lt;3,"Critical",IF(H110&lt;=6,"Watch",IF(H110&lt;=12,"Normal","Healthy")))</x:f>
        <x:v>Healthy</x:v>
      </x:c>
      <x:c r="J110" s="11" t="n">
        <x:v>924</x:v>
      </x:c>
      <x:c r="K110" t="str">
        <x:v>Under Investigation</x:v>
      </x:c>
      <x:c r="L110" s="12" t="str">
        <x:f>IF(OR(K110="Rejected",K110="Under Investigation"),"Escalate Supply Review",IF(I110="Critical",IF(MOD(ROW(),2)=0,"Commercial Discount Candidate","Redistribution Required"),IF(I110="Watch",IF(MOD(ROW(),2)=0,"Allocate to Tender Opportunity","Prioritize Current Orders"),IF(I110="Normal","Prioritize Current Orders","Normal Earliest Expiry First Rotation"))))</x:f>
        <x:v>Escalate Supply Review</x:v>
      </x:c>
    </x:row>
    <x:row r="111">
      <x:c r="A111" t="str">
        <x:v>DX-GENE-02</x:v>
      </x:c>
      <x:c r="B111" t="str">
        <x:v>Product Lambda</x:v>
      </x:c>
      <x:c r="C111" t="str">
        <x:v>Central Warehouse C</x:v>
      </x:c>
      <x:c r="D111" t="str">
        <x:v>Ambient</x:v>
      </x:c>
      <x:c r="E111" s="8" t="n">
        <x:v>45848</x:v>
      </x:c>
      <x:c r="F111" s="8" t="n">
        <x:v>47107</x:v>
      </x:c>
      <x:c r="G111" s="9" t="n">
        <x:f>F111-TODAY()</x:f>
        <x:v>916</x:v>
      </x:c>
      <x:c r="H111" s="10" t="n">
        <x:f>G111/30</x:f>
        <x:v>30.533333333333335</x:v>
      </x:c>
      <x:c r="I111" t="str">
        <x:f>IF(H111&lt;3,"Critical",IF(H111&lt;=6,"Watch",IF(H111&lt;=12,"Normal","Healthy")))</x:f>
        <x:v>Healthy</x:v>
      </x:c>
      <x:c r="J111" s="11" t="n">
        <x:v>1093</x:v>
      </x:c>
      <x:c r="K111" t="str">
        <x:v>Quarantine</x:v>
      </x:c>
      <x:c r="L111" s="12" t="str">
        <x:f>IF(OR(K111="Rejected",K111="Under Investigation"),"Escalate Supply Review",IF(I111="Critical",IF(MOD(ROW(),2)=0,"Commercial Discount Candidate","Redistribution Required"),IF(I111="Watch",IF(MOD(ROW(),2)=0,"Allocate to Tender Opportunity","Prioritize Current Orders"),IF(I111="Normal","Prioritize Current Orders","Normal Earliest Expiry First Rotation"))))</x:f>
        <x:v>Normal Earliest Expiry First Rotation</x:v>
      </x:c>
    </x:row>
    <x:row r="112">
      <x:c r="A112" t="str">
        <x:v>SVC-PAT-01</x:v>
      </x:c>
      <x:c r="B112" t="str">
        <x:v>Product Mu</x:v>
      </x:c>
      <x:c r="C112" t="str">
        <x:v>Quality Warehouse A</x:v>
      </x:c>
      <x:c r="D112" t="str">
        <x:v>Not Applicable</x:v>
      </x:c>
      <x:c r="E112" s="8" t="n">
        <x:v>45879</x:v>
      </x:c>
      <x:c r="F112" s="8" t="n">
        <x:v>47169</x:v>
      </x:c>
      <x:c r="G112" s="9" t="n">
        <x:f>F112-TODAY()</x:f>
        <x:v>978</x:v>
      </x:c>
      <x:c r="H112" s="10" t="n">
        <x:f>G112/30</x:f>
        <x:v>32.6</x:v>
      </x:c>
      <x:c r="I112" t="str">
        <x:f>IF(H112&lt;3,"Critical",IF(H112&lt;=6,"Watch",IF(H112&lt;=12,"Normal","Healthy")))</x:f>
        <x:v>Healthy</x:v>
      </x:c>
      <x:c r="J112" s="11" t="n">
        <x:v>1262</x:v>
      </x:c>
      <x:c r="K112" t="str">
        <x:v>Released for Sale</x:v>
      </x:c>
      <x:c r="L112" s="12" t="str">
        <x:f>IF(OR(K112="Rejected",K112="Under Investigation"),"Escalate Supply Review",IF(I112="Critical",IF(MOD(ROW(),2)=0,"Commercial Discount Candidate","Redistribution Required"),IF(I112="Watch",IF(MOD(ROW(),2)=0,"Allocate to Tender Opportunity","Prioritize Current Orders"),IF(I112="Normal","Prioritize Current Orders","Normal Earliest Expiry First Rotation"))))</x:f>
        <x:v>Normal Earliest Expiry First Rotation</x:v>
      </x:c>
    </x:row>
    <x:row r="113">
      <x:c r="A113" t="str">
        <x:v>RX-ONC-100</x:v>
      </x:c>
      <x:c r="B113" t="str">
        <x:v>Product Alpha</x:v>
      </x:c>
      <x:c r="C113" t="str">
        <x:v>Quality Warehouse A</x:v>
      </x:c>
      <x:c r="D113" t="str">
        <x:v>Refrigerated (2-8 C)</x:v>
      </x:c>
      <x:c r="E113" s="8" t="n">
        <x:v>45940</x:v>
      </x:c>
      <x:c r="F113" s="8" t="n">
        <x:v>46954</x:v>
      </x:c>
      <x:c r="G113" s="9" t="n">
        <x:f>F113-TODAY()</x:f>
        <x:v>763</x:v>
      </x:c>
      <x:c r="H113" s="10" t="n">
        <x:f>G113/30</x:f>
        <x:v>25.433333333333334</x:v>
      </x:c>
      <x:c r="I113" t="str">
        <x:f>IF(H113&lt;3,"Critical",IF(H113&lt;=6,"Watch",IF(H113&lt;=12,"Normal","Healthy")))</x:f>
        <x:v>Healthy</x:v>
      </x:c>
      <x:c r="J113" s="11" t="n">
        <x:v>1294</x:v>
      </x:c>
      <x:c r="K113" t="str">
        <x:v>Under Investigation</x:v>
      </x:c>
      <x:c r="L113" s="12" t="str">
        <x:f>IF(OR(K113="Rejected",K113="Under Investigation"),"Escalate Supply Review",IF(I113="Critical",IF(MOD(ROW(),2)=0,"Commercial Discount Candidate","Redistribution Required"),IF(I113="Watch",IF(MOD(ROW(),2)=0,"Allocate to Tender Opportunity","Prioritize Current Orders"),IF(I113="Normal","Prioritize Current Orders","Normal Earliest Expiry First Rotation"))))</x:f>
        <x:v>Escalate Supply Review</x:v>
      </x:c>
    </x:row>
    <x:row r="114">
      <x:c r="A114" t="str">
        <x:v>RX-ONC-500</x:v>
      </x:c>
      <x:c r="B114" t="str">
        <x:v>Product Beta</x:v>
      </x:c>
      <x:c r="C114" t="str">
        <x:v>Central Warehouse A</x:v>
      </x:c>
      <x:c r="D114" t="str">
        <x:v>Refrigerated (2-8 C)</x:v>
      </x:c>
      <x:c r="E114" s="8" t="n">
        <x:v>45971</x:v>
      </x:c>
      <x:c r="F114" s="8" t="n">
        <x:v>47016</x:v>
      </x:c>
      <x:c r="G114" s="9" t="n">
        <x:f>F114-TODAY()</x:f>
        <x:v>825</x:v>
      </x:c>
      <x:c r="H114" s="10" t="n">
        <x:f>G114/30</x:f>
        <x:v>27.5</x:v>
      </x:c>
      <x:c r="I114" t="str">
        <x:f>IF(H114&lt;3,"Critical",IF(H114&lt;=6,"Watch",IF(H114&lt;=12,"Normal","Healthy")))</x:f>
        <x:v>Healthy</x:v>
      </x:c>
      <x:c r="J114" s="11" t="n">
        <x:v>1476</x:v>
      </x:c>
      <x:c r="K114" t="str">
        <x:v>Quarantine</x:v>
      </x:c>
      <x:c r="L114" s="12" t="str">
        <x:f>IF(OR(K114="Rejected",K114="Under Investigation"),"Escalate Supply Review",IF(I114="Critical",IF(MOD(ROW(),2)=0,"Commercial Discount Candidate","Redistribution Required"),IF(I114="Watch",IF(MOD(ROW(),2)=0,"Allocate to Tender Opportunity","Prioritize Current Orders"),IF(I114="Normal","Prioritize Current Orders","Normal Earliest Expiry First Rotation"))))</x:f>
        <x:v>Normal Earliest Expiry First Rotation</x:v>
      </x:c>
    </x:row>
    <x:row r="115">
      <x:c r="A115" t="str">
        <x:v>BIO-RA-200</x:v>
      </x:c>
      <x:c r="B115" t="str">
        <x:v>Product Gamma</x:v>
      </x:c>
      <x:c r="C115" t="str">
        <x:v>Central Warehouse B</x:v>
      </x:c>
      <x:c r="D115" t="str">
        <x:v>Refrigerated (2-8 C)</x:v>
      </x:c>
      <x:c r="E115" s="8" t="n">
        <x:v>46001</x:v>
      </x:c>
      <x:c r="F115" s="8" t="n">
        <x:v>47077</x:v>
      </x:c>
      <x:c r="G115" s="9" t="n">
        <x:f>F115-TODAY()</x:f>
        <x:v>886</x:v>
      </x:c>
      <x:c r="H115" s="10" t="n">
        <x:f>G115/30</x:f>
        <x:v>29.533333333333335</x:v>
      </x:c>
      <x:c r="I115" t="str">
        <x:f>IF(H115&lt;3,"Critical",IF(H115&lt;=6,"Watch",IF(H115&lt;=12,"Normal","Healthy")))</x:f>
        <x:v>Healthy</x:v>
      </x:c>
      <x:c r="J115" s="11" t="n">
        <x:v>1658</x:v>
      </x:c>
      <x:c r="K115" t="str">
        <x:v>Rejected</x:v>
      </x:c>
      <x:c r="L115" s="12" t="str">
        <x:f>IF(OR(K115="Rejected",K115="Under Investigation"),"Escalate Supply Review",IF(I115="Critical",IF(MOD(ROW(),2)=0,"Commercial Discount Candidate","Redistribution Required"),IF(I115="Watch",IF(MOD(ROW(),2)=0,"Allocate to Tender Opportunity","Prioritize Current Orders"),IF(I115="Normal","Prioritize Current Orders","Normal Earliest Expiry First Rotation"))))</x:f>
        <x:v>Escalate Supply Review</x:v>
      </x:c>
    </x:row>
    <x:row r="116">
      <x:c r="A116" t="str">
        <x:v>RX-CARD-50</x:v>
      </x:c>
      <x:c r="B116" t="str">
        <x:v>Product Delta</x:v>
      </x:c>
      <x:c r="C116" t="str">
        <x:v>Regional Warehouse B</x:v>
      </x:c>
      <x:c r="D116" t="str">
        <x:v>Ambient</x:v>
      </x:c>
      <x:c r="E116" s="8" t="n">
        <x:v>45667</x:v>
      </x:c>
      <x:c r="F116" s="8" t="n">
        <x:v>46772</x:v>
      </x:c>
      <x:c r="G116" s="9" t="n">
        <x:f>F116-TODAY()</x:f>
        <x:v>581</x:v>
      </x:c>
      <x:c r="H116" s="10" t="n">
        <x:f>G116/30</x:f>
        <x:v>19.366666666666667</x:v>
      </x:c>
      <x:c r="I116" t="str">
        <x:f>IF(H116&lt;3,"Critical",IF(H116&lt;=6,"Watch",IF(H116&lt;=12,"Normal","Healthy")))</x:f>
        <x:v>Healthy</x:v>
      </x:c>
      <x:c r="J116" s="11" t="n">
        <x:v>40</x:v>
      </x:c>
      <x:c r="K116" t="str">
        <x:v>Released for Sale</x:v>
      </x:c>
      <x:c r="L116" s="12" t="str">
        <x:f>IF(OR(K116="Rejected",K116="Under Investigation"),"Escalate Supply Review",IF(I116="Critical",IF(MOD(ROW(),2)=0,"Commercial Discount Candidate","Redistribution Required"),IF(I116="Watch",IF(MOD(ROW(),2)=0,"Allocate to Tender Opportunity","Prioritize Current Orders"),IF(I116="Normal","Prioritize Current Orders","Normal Earliest Expiry First Rotation"))))</x:f>
        <x:v>Normal Earliest Expiry First Rotation</x:v>
      </x:c>
    </x:row>
    <x:row r="117">
      <x:c r="A117" t="str">
        <x:v>RX-RARE-10</x:v>
      </x:c>
      <x:c r="B117" t="str">
        <x:v>Product Epsilon</x:v>
      </x:c>
      <x:c r="C117" t="str">
        <x:v>Central Warehouse C</x:v>
      </x:c>
      <x:c r="D117" t="str">
        <x:v>Refrigerated (2-8 C)</x:v>
      </x:c>
      <x:c r="E117" s="8" t="n">
        <x:v>45698</x:v>
      </x:c>
      <x:c r="F117" s="8" t="n">
        <x:v>46832</x:v>
      </x:c>
      <x:c r="G117" s="9" t="n">
        <x:f>F117-TODAY()</x:f>
        <x:v>641</x:v>
      </x:c>
      <x:c r="H117" s="10" t="n">
        <x:f>G117/30</x:f>
        <x:v>21.366666666666667</x:v>
      </x:c>
      <x:c r="I117" t="str">
        <x:f>IF(H117&lt;3,"Critical",IF(H117&lt;=6,"Watch",IF(H117&lt;=12,"Normal","Healthy")))</x:f>
        <x:v>Healthy</x:v>
      </x:c>
      <x:c r="J117" s="11" t="n">
        <x:v>222</x:v>
      </x:c>
      <x:c r="K117" t="str">
        <x:v>Under Investigation</x:v>
      </x:c>
      <x:c r="L117" s="12" t="str">
        <x:f>IF(OR(K117="Rejected",K117="Under Investigation"),"Escalate Supply Review",IF(I117="Critical",IF(MOD(ROW(),2)=0,"Commercial Discount Candidate","Redistribution Required"),IF(I117="Watch",IF(MOD(ROW(),2)=0,"Allocate to Tender Opportunity","Prioritize Current Orders"),IF(I117="Normal","Prioritize Current Orders","Normal Earliest Expiry First Rotation"))))</x:f>
        <x:v>Escalate Supply Review</x:v>
      </x:c>
    </x:row>
    <x:row r="118">
      <x:c r="A118" t="str">
        <x:v>DX-COMP-01</x:v>
      </x:c>
      <x:c r="B118" t="str">
        <x:v>Product Zeta</x:v>
      </x:c>
      <x:c r="C118" t="str">
        <x:v>Quality Warehouse A</x:v>
      </x:c>
      <x:c r="D118" t="str">
        <x:v>Ambient</x:v>
      </x:c>
      <x:c r="E118" s="8" t="n">
        <x:v>45726</x:v>
      </x:c>
      <x:c r="F118" s="8" t="n">
        <x:v>46893</x:v>
      </x:c>
      <x:c r="G118" s="9" t="n">
        <x:f>F118-TODAY()</x:f>
        <x:v>702</x:v>
      </x:c>
      <x:c r="H118" s="10" t="n">
        <x:f>G118/30</x:f>
        <x:v>23.4</x:v>
      </x:c>
      <x:c r="I118" t="str">
        <x:f>IF(H118&lt;3,"Critical",IF(H118&lt;=6,"Watch",IF(H118&lt;=12,"Normal","Healthy")))</x:f>
        <x:v>Healthy</x:v>
      </x:c>
      <x:c r="J118" s="11" t="n">
        <x:v>404</x:v>
      </x:c>
      <x:c r="K118" t="str">
        <x:v>Quarantine</x:v>
      </x:c>
      <x:c r="L118" s="12" t="str">
        <x:f>IF(OR(K118="Rejected",K118="Under Investigation"),"Escalate Supply Review",IF(I118="Critical",IF(MOD(ROW(),2)=0,"Commercial Discount Candidate","Redistribution Required"),IF(I118="Watch",IF(MOD(ROW(),2)=0,"Allocate to Tender Opportunity","Prioritize Current Orders"),IF(I118="Normal","Prioritize Current Orders","Normal Earliest Expiry First Rotation"))))</x:f>
        <x:v>Normal Earliest Expiry First Rotation</x:v>
      </x:c>
    </x:row>
    <x:row r="119">
      <x:c r="A119" t="str">
        <x:v>RX-HOSP-20</x:v>
      </x:c>
      <x:c r="B119" t="str">
        <x:v>Product Eta</x:v>
      </x:c>
      <x:c r="C119" t="str">
        <x:v>Central Warehouse A</x:v>
      </x:c>
      <x:c r="D119" t="str">
        <x:v>Ambient</x:v>
      </x:c>
      <x:c r="E119" s="8" t="n">
        <x:v>45757</x:v>
      </x:c>
      <x:c r="F119" s="8" t="n">
        <x:v>46954</x:v>
      </x:c>
      <x:c r="G119" s="9" t="n">
        <x:f>F119-TODAY()</x:f>
        <x:v>763</x:v>
      </x:c>
      <x:c r="H119" s="10" t="n">
        <x:f>G119/30</x:f>
        <x:v>25.433333333333334</x:v>
      </x:c>
      <x:c r="I119" t="str">
        <x:f>IF(H119&lt;3,"Critical",IF(H119&lt;=6,"Watch",IF(H119&lt;=12,"Normal","Healthy")))</x:f>
        <x:v>Healthy</x:v>
      </x:c>
      <x:c r="J119" s="11" t="n">
        <x:v>586</x:v>
      </x:c>
      <x:c r="K119" t="str">
        <x:v>Released for Sale</x:v>
      </x:c>
      <x:c r="L119" s="12" t="str">
        <x:f>IF(OR(K119="Rejected",K119="Under Investigation"),"Escalate Supply Review",IF(I119="Critical",IF(MOD(ROW(),2)=0,"Commercial Discount Candidate","Redistribution Required"),IF(I119="Watch",IF(MOD(ROW(),2)=0,"Allocate to Tender Opportunity","Prioritize Current Orders"),IF(I119="Normal","Prioritize Current Orders","Normal Earliest Expiry First Rotation"))))</x:f>
        <x:v>Normal Earliest Expiry First Rotation</x:v>
      </x:c>
    </x:row>
    <x:row r="120">
      <x:c r="A120" t="str">
        <x:v>BIO-DERM-80</x:v>
      </x:c>
      <x:c r="B120" t="str">
        <x:v>Product Theta</x:v>
      </x:c>
      <x:c r="C120" t="str">
        <x:v>Central Warehouse B</x:v>
      </x:c>
      <x:c r="D120" t="str">
        <x:v>Refrigerated (2-8 C)</x:v>
      </x:c>
      <x:c r="E120" s="8" t="n">
        <x:v>45787</x:v>
      </x:c>
      <x:c r="F120" s="8" t="n">
        <x:v>47016</x:v>
      </x:c>
      <x:c r="G120" s="9" t="n">
        <x:f>F120-TODAY()</x:f>
        <x:v>825</x:v>
      </x:c>
      <x:c r="H120" s="10" t="n">
        <x:f>G120/30</x:f>
        <x:v>27.5</x:v>
      </x:c>
      <x:c r="I120" t="str">
        <x:f>IF(H120&lt;3,"Critical",IF(H120&lt;=6,"Watch",IF(H120&lt;=12,"Normal","Healthy")))</x:f>
        <x:v>Healthy</x:v>
      </x:c>
      <x:c r="J120" s="11" t="n">
        <x:v>768</x:v>
      </x:c>
      <x:c r="K120" t="str">
        <x:v>Released for Sale</x:v>
      </x:c>
      <x:c r="L120" s="12" t="str">
        <x:f>IF(OR(K120="Rejected",K120="Under Investigation"),"Escalate Supply Review",IF(I120="Critical",IF(MOD(ROW(),2)=0,"Commercial Discount Candidate","Redistribution Required"),IF(I120="Watch",IF(MOD(ROW(),2)=0,"Allocate to Tender Opportunity","Prioritize Current Orders"),IF(I120="Normal","Prioritize Current Orders","Normal Earliest Expiry First Rotation"))))</x:f>
        <x:v>Normal Earliest Expiry First Rotation</x:v>
      </x:c>
    </x:row>
    <x:row r="121">
      <x:c r="A121" t="str">
        <x:v>RX-ONC-ORAL</x:v>
      </x:c>
      <x:c r="B121" t="str">
        <x:v>Product Iota</x:v>
      </x:c>
      <x:c r="C121" t="str">
        <x:v>Regional Warehouse B</x:v>
      </x:c>
      <x:c r="D121" t="str">
        <x:v>Ambient</x:v>
      </x:c>
      <x:c r="E121" s="8" t="n">
        <x:v>45818</x:v>
      </x:c>
      <x:c r="F121" s="8" t="n">
        <x:v>47077</x:v>
      </x:c>
      <x:c r="G121" s="9" t="n">
        <x:f>F121-TODAY()</x:f>
        <x:v>886</x:v>
      </x:c>
      <x:c r="H121" s="10" t="n">
        <x:f>G121/30</x:f>
        <x:v>29.533333333333335</x:v>
      </x:c>
      <x:c r="I121" t="str">
        <x:f>IF(H121&lt;3,"Critical",IF(H121&lt;=6,"Watch",IF(H121&lt;=12,"Normal","Healthy")))</x:f>
        <x:v>Healthy</x:v>
      </x:c>
      <x:c r="J121" s="11" t="n">
        <x:v>950</x:v>
      </x:c>
      <x:c r="K121" t="str">
        <x:v>Under Investigation</x:v>
      </x:c>
      <x:c r="L121" s="12" t="str">
        <x:f>IF(OR(K121="Rejected",K121="Under Investigation"),"Escalate Supply Review",IF(I121="Critical",IF(MOD(ROW(),2)=0,"Commercial Discount Candidate","Redistribution Required"),IF(I121="Watch",IF(MOD(ROW(),2)=0,"Allocate to Tender Opportunity","Prioritize Current Orders"),IF(I121="Normal","Prioritize Current Orders","Normal Earliest Expiry First Rotation"))))</x:f>
        <x:v>Escalate Supply Review</x:v>
      </x:c>
    </x:row>
    <x:row r="122">
      <x:c r="A122" t="str">
        <x:v>RX-RARE-INF</x:v>
      </x:c>
      <x:c r="B122" t="str">
        <x:v>Product Kappa</x:v>
      </x:c>
      <x:c r="C122" t="str">
        <x:v>Central Warehouse C</x:v>
      </x:c>
      <x:c r="D122" t="str">
        <x:v>Refrigerated (2-8 C)</x:v>
      </x:c>
      <x:c r="E122" s="8" t="n">
        <x:v>45848</x:v>
      </x:c>
      <x:c r="F122" s="8" t="n">
        <x:v>47138</x:v>
      </x:c>
      <x:c r="G122" s="9" t="n">
        <x:f>F122-TODAY()</x:f>
        <x:v>947</x:v>
      </x:c>
      <x:c r="H122" s="10" t="n">
        <x:f>G122/30</x:f>
        <x:v>31.566666666666666</x:v>
      </x:c>
      <x:c r="I122" t="str">
        <x:f>IF(H122&lt;3,"Critical",IF(H122&lt;=6,"Watch",IF(H122&lt;=12,"Normal","Healthy")))</x:f>
        <x:v>Healthy</x:v>
      </x:c>
      <x:c r="J122" s="11" t="n">
        <x:v>1132</x:v>
      </x:c>
      <x:c r="K122" t="str">
        <x:v>Quarantine</x:v>
      </x:c>
      <x:c r="L122" s="12" t="str">
        <x:f>IF(OR(K122="Rejected",K122="Under Investigation"),"Escalate Supply Review",IF(I122="Critical",IF(MOD(ROW(),2)=0,"Commercial Discount Candidate","Redistribution Required"),IF(I122="Watch",IF(MOD(ROW(),2)=0,"Allocate to Tender Opportunity","Prioritize Current Orders"),IF(I122="Normal","Prioritize Current Orders","Normal Earliest Expiry First Rotation"))))</x:f>
        <x:v>Normal Earliest Expiry First Rotation</x:v>
      </x:c>
    </x:row>
    <x:row r="123">
      <x:c r="A123" t="str">
        <x:v>DX-GENE-02</x:v>
      </x:c>
      <x:c r="B123" t="str">
        <x:v>Product Lambda</x:v>
      </x:c>
      <x:c r="C123" t="str">
        <x:v>Quality Warehouse A</x:v>
      </x:c>
      <x:c r="D123" t="str">
        <x:v>Ambient</x:v>
      </x:c>
      <x:c r="E123" s="8" t="n">
        <x:v>45879</x:v>
      </x:c>
      <x:c r="F123" s="8" t="n">
        <x:v>47197</x:v>
      </x:c>
      <x:c r="G123" s="9" t="n">
        <x:f>F123-TODAY()</x:f>
        <x:v>1006</x:v>
      </x:c>
      <x:c r="H123" s="10" t="n">
        <x:f>G123/30</x:f>
        <x:v>33.53333333333333</x:v>
      </x:c>
      <x:c r="I123" t="str">
        <x:f>IF(H123&lt;3,"Critical",IF(H123&lt;=6,"Watch",IF(H123&lt;=12,"Normal","Healthy")))</x:f>
        <x:v>Healthy</x:v>
      </x:c>
      <x:c r="J123" s="11" t="n">
        <x:v>1314</x:v>
      </x:c>
      <x:c r="K123" t="str">
        <x:v>Released for Sale</x:v>
      </x:c>
      <x:c r="L123" s="12" t="str">
        <x:f>IF(OR(K123="Rejected",K123="Under Investigation"),"Escalate Supply Review",IF(I123="Critical",IF(MOD(ROW(),2)=0,"Commercial Discount Candidate","Redistribution Required"),IF(I123="Watch",IF(MOD(ROW(),2)=0,"Allocate to Tender Opportunity","Prioritize Current Orders"),IF(I123="Normal","Prioritize Current Orders","Normal Earliest Expiry First Rotation"))))</x:f>
        <x:v>Normal Earliest Expiry First Rotation</x:v>
      </x:c>
    </x:row>
    <x:row r="124">
      <x:c r="A124" t="str">
        <x:v>SVC-PAT-01</x:v>
      </x:c>
      <x:c r="B124" t="str">
        <x:v>Product Mu</x:v>
      </x:c>
      <x:c r="C124" t="str">
        <x:v>Central Warehouse A</x:v>
      </x:c>
      <x:c r="D124" t="str">
        <x:v>Not Applicable</x:v>
      </x:c>
      <x:c r="E124" s="8" t="n">
        <x:v>45910</x:v>
      </x:c>
      <x:c r="F124" s="8" t="n">
        <x:v>47258</x:v>
      </x:c>
      <x:c r="G124" s="9" t="n">
        <x:f>F124-TODAY()</x:f>
        <x:v>1067</x:v>
      </x:c>
      <x:c r="H124" s="10" t="n">
        <x:f>G124/30</x:f>
        <x:v>35.56666666666667</x:v>
      </x:c>
      <x:c r="I124" t="str">
        <x:f>IF(H124&lt;3,"Critical",IF(H124&lt;=6,"Watch",IF(H124&lt;=12,"Normal","Healthy")))</x:f>
        <x:v>Healthy</x:v>
      </x:c>
      <x:c r="J124" s="11" t="n">
        <x:v>1496</x:v>
      </x:c>
      <x:c r="K124" t="str">
        <x:v>Released for Sale</x:v>
      </x:c>
      <x:c r="L124" s="12" t="str">
        <x:f>IF(OR(K124="Rejected",K124="Under Investigation"),"Escalate Supply Review",IF(I124="Critical",IF(MOD(ROW(),2)=0,"Commercial Discount Candidate","Redistribution Required"),IF(I124="Watch",IF(MOD(ROW(),2)=0,"Allocate to Tender Opportunity","Prioritize Current Orders"),IF(I124="Normal","Prioritize Current Orders","Normal Earliest Expiry First Rotation"))))</x:f>
        <x:v>Normal Earliest Expiry First Rotation</x:v>
      </x:c>
    </x:row>
    <x:row r="125">
      <x:c r="A125" t="str">
        <x:v>RX-ONC-100</x:v>
      </x:c>
      <x:c r="B125" t="str">
        <x:v>Product Alpha</x:v>
      </x:c>
      <x:c r="C125" t="str">
        <x:v>Central Warehouse A</x:v>
      </x:c>
      <x:c r="D125" t="str">
        <x:v>Refrigerated (2-8 C)</x:v>
      </x:c>
      <x:c r="E125" s="8" t="n">
        <x:v>45971</x:v>
      </x:c>
      <x:c r="F125" s="8" t="n">
        <x:v>47046</x:v>
      </x:c>
      <x:c r="G125" s="9" t="n">
        <x:f>F125-TODAY()</x:f>
        <x:v>855</x:v>
      </x:c>
      <x:c r="H125" s="10" t="n">
        <x:f>G125/30</x:f>
        <x:v>28.5</x:v>
      </x:c>
      <x:c r="I125" t="str">
        <x:f>IF(H125&lt;3,"Critical",IF(H125&lt;=6,"Watch",IF(H125&lt;=12,"Normal","Healthy")))</x:f>
        <x:v>Healthy</x:v>
      </x:c>
      <x:c r="J125" s="11" t="n">
        <x:v>1385</x:v>
      </x:c>
      <x:c r="K125" t="str">
        <x:v>Quarantine</x:v>
      </x:c>
      <x:c r="L125" s="12" t="str">
        <x:f>IF(OR(K125="Rejected",K125="Under Investigation"),"Escalate Supply Review",IF(I125="Critical",IF(MOD(ROW(),2)=0,"Commercial Discount Candidate","Redistribution Required"),IF(I125="Watch",IF(MOD(ROW(),2)=0,"Allocate to Tender Opportunity","Prioritize Current Orders"),IF(I125="Normal","Prioritize Current Orders","Normal Earliest Expiry First Rotation"))))</x:f>
        <x:v>Normal Earliest Expiry First Rotation</x:v>
      </x:c>
    </x:row>
    <x:row r="126">
      <x:c r="A126" t="str">
        <x:v>RX-ONC-500</x:v>
      </x:c>
      <x:c r="B126" t="str">
        <x:v>Product Beta</x:v>
      </x:c>
      <x:c r="C126" t="str">
        <x:v>Central Warehouse B</x:v>
      </x:c>
      <x:c r="D126" t="str">
        <x:v>Refrigerated (2-8 C)</x:v>
      </x:c>
      <x:c r="E126" s="8" t="n">
        <x:v>46001</x:v>
      </x:c>
      <x:c r="F126" s="8" t="n">
        <x:v>47107</x:v>
      </x:c>
      <x:c r="G126" s="9" t="n">
        <x:f>F126-TODAY()</x:f>
        <x:v>916</x:v>
      </x:c>
      <x:c r="H126" s="10" t="n">
        <x:f>G126/30</x:f>
        <x:v>30.533333333333335</x:v>
      </x:c>
      <x:c r="I126" t="str">
        <x:f>IF(H126&lt;3,"Critical",IF(H126&lt;=6,"Watch",IF(H126&lt;=12,"Normal","Healthy")))</x:f>
        <x:v>Healthy</x:v>
      </x:c>
      <x:c r="J126" s="11" t="n">
        <x:v>1580</x:v>
      </x:c>
      <x:c r="K126" t="str">
        <x:v>Released for Sale</x:v>
      </x:c>
      <x:c r="L126" s="12" t="str">
        <x:f>IF(OR(K126="Rejected",K126="Under Investigation"),"Escalate Supply Review",IF(I126="Critical",IF(MOD(ROW(),2)=0,"Commercial Discount Candidate","Redistribution Required"),IF(I126="Watch",IF(MOD(ROW(),2)=0,"Allocate to Tender Opportunity","Prioritize Current Orders"),IF(I126="Normal","Prioritize Current Orders","Normal Earliest Expiry First Rotation"))))</x:f>
        <x:v>Normal Earliest Expiry First Rotation</x:v>
      </x:c>
    </x:row>
    <x:row r="127">
      <x:c r="A127" t="str">
        <x:v>BIO-RA-200</x:v>
      </x:c>
      <x:c r="B127" t="str">
        <x:v>Product Gamma</x:v>
      </x:c>
      <x:c r="C127" t="str">
        <x:v>Regional Warehouse B</x:v>
      </x:c>
      <x:c r="D127" t="str">
        <x:v>Refrigerated (2-8 C)</x:v>
      </x:c>
      <x:c r="E127" s="8" t="n">
        <x:v>45667</x:v>
      </x:c>
      <x:c r="F127" s="8" t="n">
        <x:v>46803</x:v>
      </x:c>
      <x:c r="G127" s="9" t="n">
        <x:f>F127-TODAY()</x:f>
        <x:v>612</x:v>
      </x:c>
      <x:c r="H127" s="10" t="n">
        <x:f>G127/30</x:f>
        <x:v>20.4</x:v>
      </x:c>
      <x:c r="I127" t="str">
        <x:f>IF(H127&lt;3,"Critical",IF(H127&lt;=6,"Watch",IF(H127&lt;=12,"Normal","Healthy")))</x:f>
        <x:v>Healthy</x:v>
      </x:c>
      <x:c r="J127" s="11" t="n">
        <x:v>1775</x:v>
      </x:c>
      <x:c r="K127" t="str">
        <x:v>Released for Sale</x:v>
      </x:c>
      <x:c r="L127" s="12" t="str">
        <x:f>IF(OR(K127="Rejected",K127="Under Investigation"),"Escalate Supply Review",IF(I127="Critical",IF(MOD(ROW(),2)=0,"Commercial Discount Candidate","Redistribution Required"),IF(I127="Watch",IF(MOD(ROW(),2)=0,"Allocate to Tender Opportunity","Prioritize Current Orders"),IF(I127="Normal","Prioritize Current Orders","Normal Earliest Expiry First Rotation"))))</x:f>
        <x:v>Normal Earliest Expiry First Rotation</x:v>
      </x:c>
    </x:row>
    <x:row r="128">
      <x:c r="A128" t="str">
        <x:v>RX-CARD-50</x:v>
      </x:c>
      <x:c r="B128" t="str">
        <x:v>Product Delta</x:v>
      </x:c>
      <x:c r="C128" t="str">
        <x:v>Central Warehouse C</x:v>
      </x:c>
      <x:c r="D128" t="str">
        <x:v>Ambient</x:v>
      </x:c>
      <x:c r="E128" s="8" t="n">
        <x:v>45698</x:v>
      </x:c>
      <x:c r="F128" s="8" t="n">
        <x:v>46863</x:v>
      </x:c>
      <x:c r="G128" s="9" t="n">
        <x:f>F128-TODAY()</x:f>
        <x:v>672</x:v>
      </x:c>
      <x:c r="H128" s="10" t="n">
        <x:f>G128/30</x:f>
        <x:v>22.4</x:v>
      </x:c>
      <x:c r="I128" t="str">
        <x:f>IF(H128&lt;3,"Critical",IF(H128&lt;=6,"Watch",IF(H128&lt;=12,"Normal","Healthy")))</x:f>
        <x:v>Healthy</x:v>
      </x:c>
      <x:c r="J128" s="11" t="n">
        <x:v>170</x:v>
      </x:c>
      <x:c r="K128" t="str">
        <x:v>Under Investigation</x:v>
      </x:c>
      <x:c r="L128" s="12" t="str">
        <x:f>IF(OR(K128="Rejected",K128="Under Investigation"),"Escalate Supply Review",IF(I128="Critical",IF(MOD(ROW(),2)=0,"Commercial Discount Candidate","Redistribution Required"),IF(I128="Watch",IF(MOD(ROW(),2)=0,"Allocate to Tender Opportunity","Prioritize Current Orders"),IF(I128="Normal","Prioritize Current Orders","Normal Earliest Expiry First Rotation"))))</x:f>
        <x:v>Escalate Supply Review</x:v>
      </x:c>
    </x:row>
    <x:row r="129">
      <x:c r="A129" t="str">
        <x:v>RX-RARE-10</x:v>
      </x:c>
      <x:c r="B129" t="str">
        <x:v>Product Epsilon</x:v>
      </x:c>
      <x:c r="C129" t="str">
        <x:v>Quality Warehouse A</x:v>
      </x:c>
      <x:c r="D129" t="str">
        <x:v>Refrigerated (2-8 C)</x:v>
      </x:c>
      <x:c r="E129" s="8" t="n">
        <x:v>45726</x:v>
      </x:c>
      <x:c r="F129" s="8" t="n">
        <x:v>46924</x:v>
      </x:c>
      <x:c r="G129" s="9" t="n">
        <x:f>F129-TODAY()</x:f>
        <x:v>733</x:v>
      </x:c>
      <x:c r="H129" s="10" t="n">
        <x:f>G129/30</x:f>
        <x:v>24.433333333333334</x:v>
      </x:c>
      <x:c r="I129" t="str">
        <x:f>IF(H129&lt;3,"Critical",IF(H129&lt;=6,"Watch",IF(H129&lt;=12,"Normal","Healthy")))</x:f>
        <x:v>Healthy</x:v>
      </x:c>
      <x:c r="J129" s="11" t="n">
        <x:v>365</x:v>
      </x:c>
      <x:c r="K129" t="str">
        <x:v>Quarantine</x:v>
      </x:c>
      <x:c r="L129" s="12" t="str">
        <x:f>IF(OR(K129="Rejected",K129="Under Investigation"),"Escalate Supply Review",IF(I129="Critical",IF(MOD(ROW(),2)=0,"Commercial Discount Candidate","Redistribution Required"),IF(I129="Watch",IF(MOD(ROW(),2)=0,"Allocate to Tender Opportunity","Prioritize Current Orders"),IF(I129="Normal","Prioritize Current Orders","Normal Earliest Expiry First Rotation"))))</x:f>
        <x:v>Normal Earliest Expiry First Rotation</x:v>
      </x:c>
    </x:row>
    <x:row r="130">
      <x:c r="A130" t="str">
        <x:v>DX-COMP-01</x:v>
      </x:c>
      <x:c r="B130" t="str">
        <x:v>Product Zeta</x:v>
      </x:c>
      <x:c r="C130" t="str">
        <x:v>Central Warehouse A</x:v>
      </x:c>
      <x:c r="D130" t="str">
        <x:v>Ambient</x:v>
      </x:c>
      <x:c r="E130" s="8" t="n">
        <x:v>45757</x:v>
      </x:c>
      <x:c r="F130" s="8" t="n">
        <x:v>46985</x:v>
      </x:c>
      <x:c r="G130" s="9" t="n">
        <x:f>F130-TODAY()</x:f>
        <x:v>794</x:v>
      </x:c>
      <x:c r="H130" s="10" t="n">
        <x:f>G130/30</x:f>
        <x:v>26.466666666666665</x:v>
      </x:c>
      <x:c r="I130" t="str">
        <x:f>IF(H130&lt;3,"Critical",IF(H130&lt;=6,"Watch",IF(H130&lt;=12,"Normal","Healthy")))</x:f>
        <x:v>Healthy</x:v>
      </x:c>
      <x:c r="J130" s="11" t="n">
        <x:v>560</x:v>
      </x:c>
      <x:c r="K130" t="str">
        <x:v>Released for Sale</x:v>
      </x:c>
      <x:c r="L130" s="12" t="str">
        <x:f>IF(OR(K130="Rejected",K130="Under Investigation"),"Escalate Supply Review",IF(I130="Critical",IF(MOD(ROW(),2)=0,"Commercial Discount Candidate","Redistribution Required"),IF(I130="Watch",IF(MOD(ROW(),2)=0,"Allocate to Tender Opportunity","Prioritize Current Orders"),IF(I130="Normal","Prioritize Current Orders","Normal Earliest Expiry First Rotation"))))</x:f>
        <x:v>Normal Earliest Expiry First Rotation</x:v>
      </x:c>
    </x:row>
    <x:row r="131">
      <x:c r="A131" t="str">
        <x:v>RX-HOSP-20</x:v>
      </x:c>
      <x:c r="B131" t="str">
        <x:v>Product Eta</x:v>
      </x:c>
      <x:c r="C131" t="str">
        <x:v>Central Warehouse B</x:v>
      </x:c>
      <x:c r="D131" t="str">
        <x:v>Ambient</x:v>
      </x:c>
      <x:c r="E131" s="8" t="n">
        <x:v>45787</x:v>
      </x:c>
      <x:c r="F131" s="8" t="n">
        <x:v>47046</x:v>
      </x:c>
      <x:c r="G131" s="9" t="n">
        <x:f>F131-TODAY()</x:f>
        <x:v>855</x:v>
      </x:c>
      <x:c r="H131" s="10" t="n">
        <x:f>G131/30</x:f>
        <x:v>28.5</x:v>
      </x:c>
      <x:c r="I131" t="str">
        <x:f>IF(H131&lt;3,"Critical",IF(H131&lt;=6,"Watch",IF(H131&lt;=12,"Normal","Healthy")))</x:f>
        <x:v>Healthy</x:v>
      </x:c>
      <x:c r="J131" s="11" t="n">
        <x:v>755</x:v>
      </x:c>
      <x:c r="K131" t="str">
        <x:v>Released for Sale</x:v>
      </x:c>
      <x:c r="L131" s="12" t="str">
        <x:f>IF(OR(K131="Rejected",K131="Under Investigation"),"Escalate Supply Review",IF(I131="Critical",IF(MOD(ROW(),2)=0,"Commercial Discount Candidate","Redistribution Required"),IF(I131="Watch",IF(MOD(ROW(),2)=0,"Allocate to Tender Opportunity","Prioritize Current Orders"),IF(I131="Normal","Prioritize Current Orders","Normal Earliest Expiry First Rotation"))))</x:f>
        <x:v>Normal Earliest Expiry First Rotation</x:v>
      </x:c>
    </x:row>
    <x:row r="132">
      <x:c r="A132" t="str">
        <x:v>BIO-DERM-80</x:v>
      </x:c>
      <x:c r="B132" t="str">
        <x:v>Product Theta</x:v>
      </x:c>
      <x:c r="C132" t="str">
        <x:v>Regional Warehouse B</x:v>
      </x:c>
      <x:c r="D132" t="str">
        <x:v>Refrigerated (2-8 C)</x:v>
      </x:c>
      <x:c r="E132" s="8" t="n">
        <x:v>45818</x:v>
      </x:c>
      <x:c r="F132" s="8" t="n">
        <x:v>47107</x:v>
      </x:c>
      <x:c r="G132" s="9" t="n">
        <x:f>F132-TODAY()</x:f>
        <x:v>916</x:v>
      </x:c>
      <x:c r="H132" s="10" t="n">
        <x:f>G132/30</x:f>
        <x:v>30.533333333333335</x:v>
      </x:c>
      <x:c r="I132" t="str">
        <x:f>IF(H132&lt;3,"Critical",IF(H132&lt;=6,"Watch",IF(H132&lt;=12,"Normal","Healthy")))</x:f>
        <x:v>Healthy</x:v>
      </x:c>
      <x:c r="J132" s="11" t="n">
        <x:v>950</x:v>
      </x:c>
      <x:c r="K132" t="str">
        <x:v>Under Investigation</x:v>
      </x:c>
      <x:c r="L132" s="12" t="str">
        <x:f>IF(OR(K132="Rejected",K132="Under Investigation"),"Escalate Supply Review",IF(I132="Critical",IF(MOD(ROW(),2)=0,"Commercial Discount Candidate","Redistribution Required"),IF(I132="Watch",IF(MOD(ROW(),2)=0,"Allocate to Tender Opportunity","Prioritize Current Orders"),IF(I132="Normal","Prioritize Current Orders","Normal Earliest Expiry First Rotation"))))</x:f>
        <x:v>Escalate Supply Review</x:v>
      </x:c>
    </x:row>
    <x:row r="133">
      <x:c r="A133" t="str">
        <x:v>RX-ONC-ORAL</x:v>
      </x:c>
      <x:c r="B133" t="str">
        <x:v>Product Iota</x:v>
      </x:c>
      <x:c r="C133" t="str">
        <x:v>Central Warehouse C</x:v>
      </x:c>
      <x:c r="D133" t="str">
        <x:v>Ambient</x:v>
      </x:c>
      <x:c r="E133" s="8" t="n">
        <x:v>45848</x:v>
      </x:c>
      <x:c r="F133" s="8" t="n">
        <x:v>47169</x:v>
      </x:c>
      <x:c r="G133" s="9" t="n">
        <x:f>F133-TODAY()</x:f>
        <x:v>978</x:v>
      </x:c>
      <x:c r="H133" s="10" t="n">
        <x:f>G133/30</x:f>
        <x:v>32.6</x:v>
      </x:c>
      <x:c r="I133" t="str">
        <x:f>IF(H133&lt;3,"Critical",IF(H133&lt;=6,"Watch",IF(H133&lt;=12,"Normal","Healthy")))</x:f>
        <x:v>Healthy</x:v>
      </x:c>
      <x:c r="J133" s="11" t="n">
        <x:v>1145</x:v>
      </x:c>
      <x:c r="K133" t="str">
        <x:v>Quarantine</x:v>
      </x:c>
      <x:c r="L133" s="12" t="str">
        <x:f>IF(OR(K133="Rejected",K133="Under Investigation"),"Escalate Supply Review",IF(I133="Critical",IF(MOD(ROW(),2)=0,"Commercial Discount Candidate","Redistribution Required"),IF(I133="Watch",IF(MOD(ROW(),2)=0,"Allocate to Tender Opportunity","Prioritize Current Orders"),IF(I133="Normal","Prioritize Current Orders","Normal Earliest Expiry First Rotation"))))</x:f>
        <x:v>Normal Earliest Expiry First Rotation</x:v>
      </x:c>
    </x:row>
    <x:row r="134">
      <x:c r="A134" t="str">
        <x:v>RX-RARE-INF</x:v>
      </x:c>
      <x:c r="B134" t="str">
        <x:v>Product Kappa</x:v>
      </x:c>
      <x:c r="C134" t="str">
        <x:v>Quality Warehouse A</x:v>
      </x:c>
      <x:c r="D134" t="str">
        <x:v>Refrigerated (2-8 C)</x:v>
      </x:c>
      <x:c r="E134" s="8" t="n">
        <x:v>45879</x:v>
      </x:c>
      <x:c r="F134" s="8" t="n">
        <x:v>47228</x:v>
      </x:c>
      <x:c r="G134" s="9" t="n">
        <x:f>F134-TODAY()</x:f>
        <x:v>1037</x:v>
      </x:c>
      <x:c r="H134" s="10" t="n">
        <x:f>G134/30</x:f>
        <x:v>34.56666666666667</x:v>
      </x:c>
      <x:c r="I134" t="str">
        <x:f>IF(H134&lt;3,"Critical",IF(H134&lt;=6,"Watch",IF(H134&lt;=12,"Normal","Healthy")))</x:f>
        <x:v>Healthy</x:v>
      </x:c>
      <x:c r="J134" s="11" t="n">
        <x:v>1340</x:v>
      </x:c>
      <x:c r="K134" t="str">
        <x:v>Released for Sale</x:v>
      </x:c>
      <x:c r="L134" s="12" t="str">
        <x:f>IF(OR(K134="Rejected",K134="Under Investigation"),"Escalate Supply Review",IF(I134="Critical",IF(MOD(ROW(),2)=0,"Commercial Discount Candidate","Redistribution Required"),IF(I134="Watch",IF(MOD(ROW(),2)=0,"Allocate to Tender Opportunity","Prioritize Current Orders"),IF(I134="Normal","Prioritize Current Orders","Normal Earliest Expiry First Rotation"))))</x:f>
        <x:v>Normal Earliest Expiry First Rotation</x:v>
      </x:c>
    </x:row>
    <x:row r="135">
      <x:c r="A135" t="str">
        <x:v>DX-GENE-02</x:v>
      </x:c>
      <x:c r="B135" t="str">
        <x:v>Product Lambda</x:v>
      </x:c>
      <x:c r="C135" t="str">
        <x:v>Central Warehouse A</x:v>
      </x:c>
      <x:c r="D135" t="str">
        <x:v>Ambient</x:v>
      </x:c>
      <x:c r="E135" s="8" t="n">
        <x:v>45910</x:v>
      </x:c>
      <x:c r="F135" s="8" t="n">
        <x:v>46376</x:v>
      </x:c>
      <x:c r="G135" s="9" t="n">
        <x:f>F135-TODAY()</x:f>
        <x:v>185</x:v>
      </x:c>
      <x:c r="H135" s="10" t="n">
        <x:f>G135/30</x:f>
        <x:v>6.166666666666667</x:v>
      </x:c>
      <x:c r="I135" t="str">
        <x:f>IF(H135&lt;3,"Critical",IF(H135&lt;=6,"Watch",IF(H135&lt;=12,"Normal","Healthy")))</x:f>
        <x:v>Normal</x:v>
      </x:c>
      <x:c r="J135" s="11" t="n">
        <x:v>1535</x:v>
      </x:c>
      <x:c r="K135" t="str">
        <x:v>Released for Sale</x:v>
      </x:c>
      <x:c r="L135" s="12" t="str">
        <x:f>IF(OR(K135="Rejected",K135="Under Investigation"),"Escalate Supply Review",IF(I135="Critical",IF(MOD(ROW(),2)=0,"Commercial Discount Candidate","Redistribution Required"),IF(I135="Watch",IF(MOD(ROW(),2)=0,"Allocate to Tender Opportunity","Prioritize Current Orders"),IF(I135="Normal","Prioritize Current Orders","Normal Earliest Expiry First Rotation"))))</x:f>
        <x:v>Prioritize Current Orders</x:v>
      </x:c>
    </x:row>
    <x:row r="136">
      <x:c r="A136" t="str">
        <x:v>SVC-PAT-01</x:v>
      </x:c>
      <x:c r="B136" t="str">
        <x:v>Product Mu</x:v>
      </x:c>
      <x:c r="C136" t="str">
        <x:v>Central Warehouse B</x:v>
      </x:c>
      <x:c r="D136" t="str">
        <x:v>Not Applicable</x:v>
      </x:c>
      <x:c r="E136" s="8" t="n">
        <x:v>45940</x:v>
      </x:c>
      <x:c r="F136" s="8" t="n">
        <x:v>46438</x:v>
      </x:c>
      <x:c r="G136" s="9" t="n">
        <x:f>F136-TODAY()</x:f>
        <x:v>247</x:v>
      </x:c>
      <x:c r="H136" s="10" t="n">
        <x:f>G136/30</x:f>
        <x:v>8.233333333333333</x:v>
      </x:c>
      <x:c r="I136" t="str">
        <x:f>IF(H136&lt;3,"Critical",IF(H136&lt;=6,"Watch",IF(H136&lt;=12,"Normal","Healthy")))</x:f>
        <x:v>Normal</x:v>
      </x:c>
      <x:c r="J136" s="11" t="n">
        <x:v>1730</x:v>
      </x:c>
      <x:c r="K136" t="str">
        <x:v>Under Investigation</x:v>
      </x:c>
      <x:c r="L136" s="12" t="str">
        <x:f>IF(OR(K136="Rejected",K136="Under Investigation"),"Escalate Supply Review",IF(I136="Critical",IF(MOD(ROW(),2)=0,"Commercial Discount Candidate","Redistribution Required"),IF(I136="Watch",IF(MOD(ROW(),2)=0,"Allocate to Tender Opportunity","Prioritize Current Orders"),IF(I136="Normal","Prioritize Current Orders","Normal Earliest Expiry First Rotation"))))</x:f>
        <x:v>Escalate Supply Review</x:v>
      </x:c>
    </x:row>
    <x:row r="137">
      <x:c r="A137" t="str">
        <x:v>RX-ONC-100</x:v>
      </x:c>
      <x:c r="B137" t="str">
        <x:v>Product Alpha</x:v>
      </x:c>
      <x:c r="C137" t="str">
        <x:v>Central Warehouse B</x:v>
      </x:c>
      <x:c r="D137" t="str">
        <x:v>Refrigerated (2-8 C)</x:v>
      </x:c>
      <x:c r="E137" s="8" t="n">
        <x:v>46001</x:v>
      </x:c>
      <x:c r="F137" s="8" t="n">
        <x:v>47138</x:v>
      </x:c>
      <x:c r="G137" s="9" t="n">
        <x:f>F137-TODAY()</x:f>
        <x:v>947</x:v>
      </x:c>
      <x:c r="H137" s="10" t="n">
        <x:f>G137/30</x:f>
        <x:v>31.566666666666666</x:v>
      </x:c>
      <x:c r="I137" t="str">
        <x:f>IF(H137&lt;3,"Critical",IF(H137&lt;=6,"Watch",IF(H137&lt;=12,"Normal","Healthy")))</x:f>
        <x:v>Healthy</x:v>
      </x:c>
      <x:c r="J137" s="11" t="n">
        <x:v>1476</x:v>
      </x:c>
      <x:c r="K137" t="str">
        <x:v>Released for Sale</x:v>
      </x:c>
      <x:c r="L137" s="12" t="str">
        <x:f>IF(OR(K137="Rejected",K137="Under Investigation"),"Escalate Supply Review",IF(I137="Critical",IF(MOD(ROW(),2)=0,"Commercial Discount Candidate","Redistribution Required"),IF(I137="Watch",IF(MOD(ROW(),2)=0,"Allocate to Tender Opportunity","Prioritize Current Orders"),IF(I137="Normal","Prioritize Current Orders","Normal Earliest Expiry First Rotation"))))</x:f>
        <x:v>Normal Earliest Expiry First Rotation</x:v>
      </x:c>
    </x:row>
    <x:row r="138">
      <x:c r="A138" t="str">
        <x:v>RX-ONC-500</x:v>
      </x:c>
      <x:c r="B138" t="str">
        <x:v>Product Beta</x:v>
      </x:c>
      <x:c r="C138" t="str">
        <x:v>Regional Warehouse B</x:v>
      </x:c>
      <x:c r="D138" t="str">
        <x:v>Refrigerated (2-8 C)</x:v>
      </x:c>
      <x:c r="E138" s="8" t="n">
        <x:v>45667</x:v>
      </x:c>
      <x:c r="F138" s="8" t="n">
        <x:v>46832</x:v>
      </x:c>
      <x:c r="G138" s="9" t="n">
        <x:f>F138-TODAY()</x:f>
        <x:v>641</x:v>
      </x:c>
      <x:c r="H138" s="10" t="n">
        <x:f>G138/30</x:f>
        <x:v>21.366666666666667</x:v>
      </x:c>
      <x:c r="I138" t="str">
        <x:f>IF(H138&lt;3,"Critical",IF(H138&lt;=6,"Watch",IF(H138&lt;=12,"Normal","Healthy")))</x:f>
        <x:v>Healthy</x:v>
      </x:c>
      <x:c r="J138" s="11" t="n">
        <x:v>1684</x:v>
      </x:c>
      <x:c r="K138" t="str">
        <x:v>Released for Sale</x:v>
      </x:c>
      <x:c r="L138" s="12" t="str">
        <x:f>IF(OR(K138="Rejected",K138="Under Investigation"),"Escalate Supply Review",IF(I138="Critical",IF(MOD(ROW(),2)=0,"Commercial Discount Candidate","Redistribution Required"),IF(I138="Watch",IF(MOD(ROW(),2)=0,"Allocate to Tender Opportunity","Prioritize Current Orders"),IF(I138="Normal","Prioritize Current Orders","Normal Earliest Expiry First Rotation"))))</x:f>
        <x:v>Normal Earliest Expiry First Rotation</x:v>
      </x:c>
    </x:row>
    <x:row r="139">
      <x:c r="A139" t="str">
        <x:v>BIO-RA-200</x:v>
      </x:c>
      <x:c r="B139" t="str">
        <x:v>Product Gamma</x:v>
      </x:c>
      <x:c r="C139" t="str">
        <x:v>Central Warehouse C</x:v>
      </x:c>
      <x:c r="D139" t="str">
        <x:v>Refrigerated (2-8 C)</x:v>
      </x:c>
      <x:c r="E139" s="8" t="n">
        <x:v>45698</x:v>
      </x:c>
      <x:c r="F139" s="8" t="n">
        <x:v>46893</x:v>
      </x:c>
      <x:c r="G139" s="9" t="n">
        <x:f>F139-TODAY()</x:f>
        <x:v>702</x:v>
      </x:c>
      <x:c r="H139" s="10" t="n">
        <x:f>G139/30</x:f>
        <x:v>23.4</x:v>
      </x:c>
      <x:c r="I139" t="str">
        <x:f>IF(H139&lt;3,"Critical",IF(H139&lt;=6,"Watch",IF(H139&lt;=12,"Normal","Healthy")))</x:f>
        <x:v>Healthy</x:v>
      </x:c>
      <x:c r="J139" s="11" t="n">
        <x:v>92</x:v>
      </x:c>
      <x:c r="K139" t="str">
        <x:v>Under Investigation</x:v>
      </x:c>
      <x:c r="L139" s="12" t="str">
        <x:f>IF(OR(K139="Rejected",K139="Under Investigation"),"Escalate Supply Review",IF(I139="Critical",IF(MOD(ROW(),2)=0,"Commercial Discount Candidate","Redistribution Required"),IF(I139="Watch",IF(MOD(ROW(),2)=0,"Allocate to Tender Opportunity","Prioritize Current Orders"),IF(I139="Normal","Prioritize Current Orders","Normal Earliest Expiry First Rotation"))))</x:f>
        <x:v>Escalate Supply Review</x:v>
      </x:c>
    </x:row>
    <x:row r="140">
      <x:c r="A140" t="str">
        <x:v>RX-CARD-50</x:v>
      </x:c>
      <x:c r="B140" t="str">
        <x:v>Product Delta</x:v>
      </x:c>
      <x:c r="C140" t="str">
        <x:v>Quality Warehouse A</x:v>
      </x:c>
      <x:c r="D140" t="str">
        <x:v>Ambient</x:v>
      </x:c>
      <x:c r="E140" s="8" t="n">
        <x:v>45726</x:v>
      </x:c>
      <x:c r="F140" s="8" t="n">
        <x:v>46954</x:v>
      </x:c>
      <x:c r="G140" s="9" t="n">
        <x:f>F140-TODAY()</x:f>
        <x:v>763</x:v>
      </x:c>
      <x:c r="H140" s="10" t="n">
        <x:f>G140/30</x:f>
        <x:v>25.433333333333334</x:v>
      </x:c>
      <x:c r="I140" t="str">
        <x:f>IF(H140&lt;3,"Critical",IF(H140&lt;=6,"Watch",IF(H140&lt;=12,"Normal","Healthy")))</x:f>
        <x:v>Healthy</x:v>
      </x:c>
      <x:c r="J140" s="11" t="n">
        <x:v>300</x:v>
      </x:c>
      <x:c r="K140" t="str">
        <x:v>Quarantine</x:v>
      </x:c>
      <x:c r="L140" s="12" t="str">
        <x:f>IF(OR(K140="Rejected",K140="Under Investigation"),"Escalate Supply Review",IF(I140="Critical",IF(MOD(ROW(),2)=0,"Commercial Discount Candidate","Redistribution Required"),IF(I140="Watch",IF(MOD(ROW(),2)=0,"Allocate to Tender Opportunity","Prioritize Current Orders"),IF(I140="Normal","Prioritize Current Orders","Normal Earliest Expiry First Rotation"))))</x:f>
        <x:v>Normal Earliest Expiry First Rotation</x:v>
      </x:c>
    </x:row>
    <x:row r="141">
      <x:c r="A141" t="str">
        <x:v>RX-RARE-10</x:v>
      </x:c>
      <x:c r="B141" t="str">
        <x:v>Product Epsilon</x:v>
      </x:c>
      <x:c r="C141" t="str">
        <x:v>Central Warehouse A</x:v>
      </x:c>
      <x:c r="D141" t="str">
        <x:v>Refrigerated (2-8 C)</x:v>
      </x:c>
      <x:c r="E141" s="8" t="n">
        <x:v>45757</x:v>
      </x:c>
      <x:c r="F141" s="8" t="n">
        <x:v>47016</x:v>
      </x:c>
      <x:c r="G141" s="9" t="n">
        <x:f>F141-TODAY()</x:f>
        <x:v>825</x:v>
      </x:c>
      <x:c r="H141" s="10" t="n">
        <x:f>G141/30</x:f>
        <x:v>27.5</x:v>
      </x:c>
      <x:c r="I141" t="str">
        <x:f>IF(H141&lt;3,"Critical",IF(H141&lt;=6,"Watch",IF(H141&lt;=12,"Normal","Healthy")))</x:f>
        <x:v>Healthy</x:v>
      </x:c>
      <x:c r="J141" s="11" t="n">
        <x:v>508</x:v>
      </x:c>
      <x:c r="K141" t="str">
        <x:v>Released for Sale</x:v>
      </x:c>
      <x:c r="L141" s="12" t="str">
        <x:f>IF(OR(K141="Rejected",K141="Under Investigation"),"Escalate Supply Review",IF(I141="Critical",IF(MOD(ROW(),2)=0,"Commercial Discount Candidate","Redistribution Required"),IF(I141="Watch",IF(MOD(ROW(),2)=0,"Allocate to Tender Opportunity","Prioritize Current Orders"),IF(I141="Normal","Prioritize Current Orders","Normal Earliest Expiry First Rotation"))))</x:f>
        <x:v>Normal Earliest Expiry First Rotation</x:v>
      </x:c>
    </x:row>
    <x:row r="142">
      <x:c r="A142" t="str">
        <x:v>DX-COMP-01</x:v>
      </x:c>
      <x:c r="B142" t="str">
        <x:v>Product Zeta</x:v>
      </x:c>
      <x:c r="C142" t="str">
        <x:v>Central Warehouse B</x:v>
      </x:c>
      <x:c r="D142" t="str">
        <x:v>Ambient</x:v>
      </x:c>
      <x:c r="E142" s="8" t="n">
        <x:v>45787</x:v>
      </x:c>
      <x:c r="F142" s="8" t="n">
        <x:v>47077</x:v>
      </x:c>
      <x:c r="G142" s="9" t="n">
        <x:f>F142-TODAY()</x:f>
        <x:v>886</x:v>
      </x:c>
      <x:c r="H142" s="10" t="n">
        <x:f>G142/30</x:f>
        <x:v>29.533333333333335</x:v>
      </x:c>
      <x:c r="I142" t="str">
        <x:f>IF(H142&lt;3,"Critical",IF(H142&lt;=6,"Watch",IF(H142&lt;=12,"Normal","Healthy")))</x:f>
        <x:v>Healthy</x:v>
      </x:c>
      <x:c r="J142" s="11" t="n">
        <x:v>716</x:v>
      </x:c>
      <x:c r="K142" t="str">
        <x:v>Released for Sale</x:v>
      </x:c>
      <x:c r="L142" s="12" t="str">
        <x:f>IF(OR(K142="Rejected",K142="Under Investigation"),"Escalate Supply Review",IF(I142="Critical",IF(MOD(ROW(),2)=0,"Commercial Discount Candidate","Redistribution Required"),IF(I142="Watch",IF(MOD(ROW(),2)=0,"Allocate to Tender Opportunity","Prioritize Current Orders"),IF(I142="Normal","Prioritize Current Orders","Normal Earliest Expiry First Rotation"))))</x:f>
        <x:v>Normal Earliest Expiry First Rotation</x:v>
      </x:c>
    </x:row>
    <x:row r="143">
      <x:c r="A143" t="str">
        <x:v>RX-HOSP-20</x:v>
      </x:c>
      <x:c r="B143" t="str">
        <x:v>Product Eta</x:v>
      </x:c>
      <x:c r="C143" t="str">
        <x:v>Regional Warehouse B</x:v>
      </x:c>
      <x:c r="D143" t="str">
        <x:v>Ambient</x:v>
      </x:c>
      <x:c r="E143" s="8" t="n">
        <x:v>45818</x:v>
      </x:c>
      <x:c r="F143" s="8" t="n">
        <x:v>47138</x:v>
      </x:c>
      <x:c r="G143" s="9" t="n">
        <x:f>F143-TODAY()</x:f>
        <x:v>947</x:v>
      </x:c>
      <x:c r="H143" s="10" t="n">
        <x:f>G143/30</x:f>
        <x:v>31.566666666666666</x:v>
      </x:c>
      <x:c r="I143" t="str">
        <x:f>IF(H143&lt;3,"Critical",IF(H143&lt;=6,"Watch",IF(H143&lt;=12,"Normal","Healthy")))</x:f>
        <x:v>Healthy</x:v>
      </x:c>
      <x:c r="J143" s="11" t="n">
        <x:v>924</x:v>
      </x:c>
      <x:c r="K143" t="str">
        <x:v>Under Investigation</x:v>
      </x:c>
      <x:c r="L143" s="12" t="str">
        <x:f>IF(OR(K143="Rejected",K143="Under Investigation"),"Escalate Supply Review",IF(I143="Critical",IF(MOD(ROW(),2)=0,"Commercial Discount Candidate","Redistribution Required"),IF(I143="Watch",IF(MOD(ROW(),2)=0,"Allocate to Tender Opportunity","Prioritize Current Orders"),IF(I143="Normal","Prioritize Current Orders","Normal Earliest Expiry First Rotation"))))</x:f>
        <x:v>Escalate Supply Review</x:v>
      </x:c>
    </x:row>
    <x:row r="144">
      <x:c r="A144" t="str">
        <x:v>BIO-DERM-80</x:v>
      </x:c>
      <x:c r="B144" t="str">
        <x:v>Product Theta</x:v>
      </x:c>
      <x:c r="C144" t="str">
        <x:v>Central Warehouse C</x:v>
      </x:c>
      <x:c r="D144" t="str">
        <x:v>Refrigerated (2-8 C)</x:v>
      </x:c>
      <x:c r="E144" s="8" t="n">
        <x:v>45848</x:v>
      </x:c>
      <x:c r="F144" s="8" t="n">
        <x:v>47197</x:v>
      </x:c>
      <x:c r="G144" s="9" t="n">
        <x:f>F144-TODAY()</x:f>
        <x:v>1006</x:v>
      </x:c>
      <x:c r="H144" s="10" t="n">
        <x:f>G144/30</x:f>
        <x:v>33.53333333333333</x:v>
      </x:c>
      <x:c r="I144" t="str">
        <x:f>IF(H144&lt;3,"Critical",IF(H144&lt;=6,"Watch",IF(H144&lt;=12,"Normal","Healthy")))</x:f>
        <x:v>Healthy</x:v>
      </x:c>
      <x:c r="J144" s="11" t="n">
        <x:v>1132</x:v>
      </x:c>
      <x:c r="K144" t="str">
        <x:v>Quarantine</x:v>
      </x:c>
      <x:c r="L144" s="12" t="str">
        <x:f>IF(OR(K144="Rejected",K144="Under Investigation"),"Escalate Supply Review",IF(I144="Critical",IF(MOD(ROW(),2)=0,"Commercial Discount Candidate","Redistribution Required"),IF(I144="Watch",IF(MOD(ROW(),2)=0,"Allocate to Tender Opportunity","Prioritize Current Orders"),IF(I144="Normal","Prioritize Current Orders","Normal Earliest Expiry First Rotation"))))</x:f>
        <x:v>Normal Earliest Expiry First Rotation</x:v>
      </x:c>
    </x:row>
    <x:row r="145">
      <x:c r="A145" t="str">
        <x:v>RX-ONC-ORAL</x:v>
      </x:c>
      <x:c r="B145" t="str">
        <x:v>Product Iota</x:v>
      </x:c>
      <x:c r="C145" t="str">
        <x:v>Quality Warehouse A</x:v>
      </x:c>
      <x:c r="D145" t="str">
        <x:v>Ambient</x:v>
      </x:c>
      <x:c r="E145" s="8" t="n">
        <x:v>45879</x:v>
      </x:c>
      <x:c r="F145" s="8" t="n">
        <x:v>46346</x:v>
      </x:c>
      <x:c r="G145" s="9" t="n">
        <x:f>F145-TODAY()</x:f>
        <x:v>155</x:v>
      </x:c>
      <x:c r="H145" s="10" t="n">
        <x:f>G145/30</x:f>
        <x:v>5.166666666666667</x:v>
      </x:c>
      <x:c r="I145" t="str">
        <x:f>IF(H145&lt;3,"Critical",IF(H145&lt;=6,"Watch",IF(H145&lt;=12,"Normal","Healthy")))</x:f>
        <x:v>Watch</x:v>
      </x:c>
      <x:c r="J145" s="11" t="n">
        <x:v>1340</x:v>
      </x:c>
      <x:c r="K145" t="str">
        <x:v>Released for Sale</x:v>
      </x:c>
      <x:c r="L145" s="12" t="str">
        <x:f>IF(OR(K145="Rejected",K145="Under Investigation"),"Escalate Supply Review",IF(I145="Critical",IF(MOD(ROW(),2)=0,"Commercial Discount Candidate","Redistribution Required"),IF(I145="Watch",IF(MOD(ROW(),2)=0,"Allocate to Tender Opportunity","Prioritize Current Orders"),IF(I145="Normal","Prioritize Current Orders","Normal Earliest Expiry First Rotation"))))</x:f>
        <x:v>Prioritize Current Orders</x:v>
      </x:c>
    </x:row>
    <x:row r="146">
      <x:c r="A146" t="str">
        <x:v>RX-RARE-INF</x:v>
      </x:c>
      <x:c r="B146" t="str">
        <x:v>Product Kappa</x:v>
      </x:c>
      <x:c r="C146" t="str">
        <x:v>Central Warehouse A</x:v>
      </x:c>
      <x:c r="D146" t="str">
        <x:v>Refrigerated (2-8 C)</x:v>
      </x:c>
      <x:c r="E146" s="8" t="n">
        <x:v>45910</x:v>
      </x:c>
      <x:c r="F146" s="8" t="n">
        <x:v>46407</x:v>
      </x:c>
      <x:c r="G146" s="9" t="n">
        <x:f>F146-TODAY()</x:f>
        <x:v>216</x:v>
      </x:c>
      <x:c r="H146" s="10" t="n">
        <x:f>G146/30</x:f>
        <x:v>7.2</x:v>
      </x:c>
      <x:c r="I146" t="str">
        <x:f>IF(H146&lt;3,"Critical",IF(H146&lt;=6,"Watch",IF(H146&lt;=12,"Normal","Healthy")))</x:f>
        <x:v>Normal</x:v>
      </x:c>
      <x:c r="J146" s="11" t="n">
        <x:v>1548</x:v>
      </x:c>
      <x:c r="K146" t="str">
        <x:v>Released for Sale</x:v>
      </x:c>
      <x:c r="L146" s="12" t="str">
        <x:f>IF(OR(K146="Rejected",K146="Under Investigation"),"Escalate Supply Review",IF(I146="Critical",IF(MOD(ROW(),2)=0,"Commercial Discount Candidate","Redistribution Required"),IF(I146="Watch",IF(MOD(ROW(),2)=0,"Allocate to Tender Opportunity","Prioritize Current Orders"),IF(I146="Normal","Prioritize Current Orders","Normal Earliest Expiry First Rotation"))))</x:f>
        <x:v>Prioritize Current Orders</x:v>
      </x:c>
    </x:row>
    <x:row r="147">
      <x:c r="A147" t="str">
        <x:v>DX-GENE-02</x:v>
      </x:c>
      <x:c r="B147" t="str">
        <x:v>Product Lambda</x:v>
      </x:c>
      <x:c r="C147" t="str">
        <x:v>Central Warehouse B</x:v>
      </x:c>
      <x:c r="D147" t="str">
        <x:v>Ambient</x:v>
      </x:c>
      <x:c r="E147" s="8" t="n">
        <x:v>45940</x:v>
      </x:c>
      <x:c r="F147" s="8" t="n">
        <x:v>46466</x:v>
      </x:c>
      <x:c r="G147" s="9" t="n">
        <x:f>F147-TODAY()</x:f>
        <x:v>275</x:v>
      </x:c>
      <x:c r="H147" s="10" t="n">
        <x:f>G147/30</x:f>
        <x:v>9.166666666666666</x:v>
      </x:c>
      <x:c r="I147" t="str">
        <x:f>IF(H147&lt;3,"Critical",IF(H147&lt;=6,"Watch",IF(H147&lt;=12,"Normal","Healthy")))</x:f>
        <x:v>Normal</x:v>
      </x:c>
      <x:c r="J147" s="11" t="n">
        <x:v>1756</x:v>
      </x:c>
      <x:c r="K147" t="str">
        <x:v>Under Investigation</x:v>
      </x:c>
      <x:c r="L147" s="12" t="str">
        <x:f>IF(OR(K147="Rejected",K147="Under Investigation"),"Escalate Supply Review",IF(I147="Critical",IF(MOD(ROW(),2)=0,"Commercial Discount Candidate","Redistribution Required"),IF(I147="Watch",IF(MOD(ROW(),2)=0,"Allocate to Tender Opportunity","Prioritize Current Orders"),IF(I147="Normal","Prioritize Current Orders","Normal Earliest Expiry First Rotation"))))</x:f>
        <x:v>Escalate Supply Review</x:v>
      </x:c>
    </x:row>
    <x:row r="148">
      <x:c r="A148" t="str">
        <x:v>SVC-PAT-01</x:v>
      </x:c>
      <x:c r="B148" t="str">
        <x:v>Product Mu</x:v>
      </x:c>
      <x:c r="C148" t="str">
        <x:v>Regional Warehouse B</x:v>
      </x:c>
      <x:c r="D148" t="str">
        <x:v>Not Applicable</x:v>
      </x:c>
      <x:c r="E148" s="8" t="n">
        <x:v>45971</x:v>
      </x:c>
      <x:c r="F148" s="8" t="n">
        <x:v>46527</x:v>
      </x:c>
      <x:c r="G148" s="9" t="n">
        <x:f>F148-TODAY()</x:f>
        <x:v>336</x:v>
      </x:c>
      <x:c r="H148" s="10" t="n">
        <x:f>G148/30</x:f>
        <x:v>11.2</x:v>
      </x:c>
      <x:c r="I148" t="str">
        <x:f>IF(H148&lt;3,"Critical",IF(H148&lt;=6,"Watch",IF(H148&lt;=12,"Normal","Healthy")))</x:f>
        <x:v>Normal</x:v>
      </x:c>
      <x:c r="J148" s="11" t="n">
        <x:v>164</x:v>
      </x:c>
      <x:c r="K148" t="str">
        <x:v>Quarantine</x:v>
      </x:c>
      <x:c r="L148" s="12" t="str">
        <x:f>IF(OR(K148="Rejected",K148="Under Investigation"),"Escalate Supply Review",IF(I148="Critical",IF(MOD(ROW(),2)=0,"Commercial Discount Candidate","Redistribution Required"),IF(I148="Watch",IF(MOD(ROW(),2)=0,"Allocate to Tender Opportunity","Prioritize Current Orders"),IF(I148="Normal","Prioritize Current Orders","Normal Earliest Expiry First Rotation"))))</x:f>
        <x:v>Prioritize Current Orders</x:v>
      </x:c>
    </x:row>
    <x:row r="149">
      <x:c r="A149" t="str">
        <x:v>RX-ONC-100</x:v>
      </x:c>
      <x:c r="B149" t="str">
        <x:v>Product Alpha</x:v>
      </x:c>
      <x:c r="C149" t="str">
        <x:v>Regional Warehouse B</x:v>
      </x:c>
      <x:c r="D149" t="str">
        <x:v>Refrigerated (2-8 C)</x:v>
      </x:c>
      <x:c r="E149" s="8" t="n">
        <x:v>45667</x:v>
      </x:c>
      <x:c r="F149" s="8" t="n">
        <x:v>46863</x:v>
      </x:c>
      <x:c r="G149" s="9" t="n">
        <x:f>F149-TODAY()</x:f>
        <x:v>672</x:v>
      </x:c>
      <x:c r="H149" s="10" t="n">
        <x:f>G149/30</x:f>
        <x:v>22.4</x:v>
      </x:c>
      <x:c r="I149" t="str">
        <x:f>IF(H149&lt;3,"Critical",IF(H149&lt;=6,"Watch",IF(H149&lt;=12,"Normal","Healthy")))</x:f>
        <x:v>Healthy</x:v>
      </x:c>
      <x:c r="J149" s="11" t="n">
        <x:v>1567</x:v>
      </x:c>
      <x:c r="K149" t="str">
        <x:v>Released for Sale</x:v>
      </x:c>
      <x:c r="L149" s="12" t="str">
        <x:f>IF(OR(K149="Rejected",K149="Under Investigation"),"Escalate Supply Review",IF(I149="Critical",IF(MOD(ROW(),2)=0,"Commercial Discount Candidate","Redistribution Required"),IF(I149="Watch",IF(MOD(ROW(),2)=0,"Allocate to Tender Opportunity","Prioritize Current Orders"),IF(I149="Normal","Prioritize Current Orders","Normal Earliest Expiry First Rotation"))))</x:f>
        <x:v>Normal Earliest Expiry First Rotation</x:v>
      </x:c>
    </x:row>
    <x:row r="150">
      <x:c r="A150" t="str">
        <x:v>RX-ONC-500</x:v>
      </x:c>
      <x:c r="B150" t="str">
        <x:v>Product Beta</x:v>
      </x:c>
      <x:c r="C150" t="str">
        <x:v>Central Warehouse C</x:v>
      </x:c>
      <x:c r="D150" t="str">
        <x:v>Refrigerated (2-8 C)</x:v>
      </x:c>
      <x:c r="E150" s="8" t="n">
        <x:v>45698</x:v>
      </x:c>
      <x:c r="F150" s="8" t="n">
        <x:v>46924</x:v>
      </x:c>
      <x:c r="G150" s="9" t="n">
        <x:f>F150-TODAY()</x:f>
        <x:v>733</x:v>
      </x:c>
      <x:c r="H150" s="10" t="n">
        <x:f>G150/30</x:f>
        <x:v>24.433333333333334</x:v>
      </x:c>
      <x:c r="I150" t="str">
        <x:f>IF(H150&lt;3,"Critical",IF(H150&lt;=6,"Watch",IF(H150&lt;=12,"Normal","Healthy")))</x:f>
        <x:v>Healthy</x:v>
      </x:c>
      <x:c r="J150" s="11" t="n">
        <x:v>1788</x:v>
      </x:c>
      <x:c r="K150" t="str">
        <x:v>Under Investigation</x:v>
      </x:c>
      <x:c r="L150" s="12" t="str">
        <x:f>IF(OR(K150="Rejected",K150="Under Investigation"),"Escalate Supply Review",IF(I150="Critical",IF(MOD(ROW(),2)=0,"Commercial Discount Candidate","Redistribution Required"),IF(I150="Watch",IF(MOD(ROW(),2)=0,"Allocate to Tender Opportunity","Prioritize Current Orders"),IF(I150="Normal","Prioritize Current Orders","Normal Earliest Expiry First Rotation"))))</x:f>
        <x:v>Escalate Supply Review</x:v>
      </x:c>
    </x:row>
    <x:row r="151">
      <x:c r="A151" t="str">
        <x:v>BIO-RA-200</x:v>
      </x:c>
      <x:c r="B151" t="str">
        <x:v>Product Gamma</x:v>
      </x:c>
      <x:c r="C151" t="str">
        <x:v>Quality Warehouse A</x:v>
      </x:c>
      <x:c r="D151" t="str">
        <x:v>Refrigerated (2-8 C)</x:v>
      </x:c>
      <x:c r="E151" s="8" t="n">
        <x:v>45726</x:v>
      </x:c>
      <x:c r="F151" s="8" t="n">
        <x:v>46985</x:v>
      </x:c>
      <x:c r="G151" s="9" t="n">
        <x:f>F151-TODAY()</x:f>
        <x:v>794</x:v>
      </x:c>
      <x:c r="H151" s="10" t="n">
        <x:f>G151/30</x:f>
        <x:v>26.466666666666665</x:v>
      </x:c>
      <x:c r="I151" t="str">
        <x:f>IF(H151&lt;3,"Critical",IF(H151&lt;=6,"Watch",IF(H151&lt;=12,"Normal","Healthy")))</x:f>
        <x:v>Healthy</x:v>
      </x:c>
      <x:c r="J151" s="11" t="n">
        <x:v>209</x:v>
      </x:c>
      <x:c r="K151" t="str">
        <x:v>Quarantine</x:v>
      </x:c>
      <x:c r="L151" s="12" t="str">
        <x:f>IF(OR(K151="Rejected",K151="Under Investigation"),"Escalate Supply Review",IF(I151="Critical",IF(MOD(ROW(),2)=0,"Commercial Discount Candidate","Redistribution Required"),IF(I151="Watch",IF(MOD(ROW(),2)=0,"Allocate to Tender Opportunity","Prioritize Current Orders"),IF(I151="Normal","Prioritize Current Orders","Normal Earliest Expiry First Rotation"))))</x:f>
        <x:v>Normal Earliest Expiry First Rotation</x:v>
      </x:c>
    </x:row>
    <x:row r="152">
      <x:c r="A152" t="str">
        <x:v>RX-CARD-50</x:v>
      </x:c>
      <x:c r="B152" t="str">
        <x:v>Product Delta</x:v>
      </x:c>
      <x:c r="C152" t="str">
        <x:v>Central Warehouse A</x:v>
      </x:c>
      <x:c r="D152" t="str">
        <x:v>Ambient</x:v>
      </x:c>
      <x:c r="E152" s="8" t="n">
        <x:v>45757</x:v>
      </x:c>
      <x:c r="F152" s="8" t="n">
        <x:v>47046</x:v>
      </x:c>
      <x:c r="G152" s="9" t="n">
        <x:f>F152-TODAY()</x:f>
        <x:v>855</x:v>
      </x:c>
      <x:c r="H152" s="10" t="n">
        <x:f>G152/30</x:f>
        <x:v>28.5</x:v>
      </x:c>
      <x:c r="I152" t="str">
        <x:f>IF(H152&lt;3,"Critical",IF(H152&lt;=6,"Watch",IF(H152&lt;=12,"Normal","Healthy")))</x:f>
        <x:v>Healthy</x:v>
      </x:c>
      <x:c r="J152" s="11" t="n">
        <x:v>430</x:v>
      </x:c>
      <x:c r="K152" t="str">
        <x:v>Rejected</x:v>
      </x:c>
      <x:c r="L152" s="12" t="str">
        <x:f>IF(OR(K152="Rejected",K152="Under Investigation"),"Escalate Supply Review",IF(I152="Critical",IF(MOD(ROW(),2)=0,"Commercial Discount Candidate","Redistribution Required"),IF(I152="Watch",IF(MOD(ROW(),2)=0,"Allocate to Tender Opportunity","Prioritize Current Orders"),IF(I152="Normal","Prioritize Current Orders","Normal Earliest Expiry First Rotation"))))</x:f>
        <x:v>Escalate Supply Review</x:v>
      </x:c>
    </x:row>
    <x:row r="153">
      <x:c r="A153" t="str">
        <x:v>RX-RARE-10</x:v>
      </x:c>
      <x:c r="B153" t="str">
        <x:v>Product Epsilon</x:v>
      </x:c>
      <x:c r="C153" t="str">
        <x:v>Central Warehouse B</x:v>
      </x:c>
      <x:c r="D153" t="str">
        <x:v>Refrigerated (2-8 C)</x:v>
      </x:c>
      <x:c r="E153" s="8" t="n">
        <x:v>45787</x:v>
      </x:c>
      <x:c r="F153" s="8" t="n">
        <x:v>47107</x:v>
      </x:c>
      <x:c r="G153" s="9" t="n">
        <x:f>F153-TODAY()</x:f>
        <x:v>916</x:v>
      </x:c>
      <x:c r="H153" s="10" t="n">
        <x:f>G153/30</x:f>
        <x:v>30.533333333333335</x:v>
      </x:c>
      <x:c r="I153" t="str">
        <x:f>IF(H153&lt;3,"Critical",IF(H153&lt;=6,"Watch",IF(H153&lt;=12,"Normal","Healthy")))</x:f>
        <x:v>Healthy</x:v>
      </x:c>
      <x:c r="J153" s="11" t="n">
        <x:v>651</x:v>
      </x:c>
      <x:c r="K153" t="str">
        <x:v>Released for Sale</x:v>
      </x:c>
      <x:c r="L153" s="12" t="str">
        <x:f>IF(OR(K153="Rejected",K153="Under Investigation"),"Escalate Supply Review",IF(I153="Critical",IF(MOD(ROW(),2)=0,"Commercial Discount Candidate","Redistribution Required"),IF(I153="Watch",IF(MOD(ROW(),2)=0,"Allocate to Tender Opportunity","Prioritize Current Orders"),IF(I153="Normal","Prioritize Current Orders","Normal Earliest Expiry First Rotation"))))</x:f>
        <x:v>Normal Earliest Expiry First Rotation</x:v>
      </x:c>
    </x:row>
    <x:row r="154">
      <x:c r="A154" t="str">
        <x:v>DX-COMP-01</x:v>
      </x:c>
      <x:c r="B154" t="str">
        <x:v>Product Zeta</x:v>
      </x:c>
      <x:c r="C154" t="str">
        <x:v>Regional Warehouse B</x:v>
      </x:c>
      <x:c r="D154" t="str">
        <x:v>Ambient</x:v>
      </x:c>
      <x:c r="E154" s="8" t="n">
        <x:v>45818</x:v>
      </x:c>
      <x:c r="F154" s="8" t="n">
        <x:v>47169</x:v>
      </x:c>
      <x:c r="G154" s="9" t="n">
        <x:f>F154-TODAY()</x:f>
        <x:v>978</x:v>
      </x:c>
      <x:c r="H154" s="10" t="n">
        <x:f>G154/30</x:f>
        <x:v>32.6</x:v>
      </x:c>
      <x:c r="I154" t="str">
        <x:f>IF(H154&lt;3,"Critical",IF(H154&lt;=6,"Watch",IF(H154&lt;=12,"Normal","Healthy")))</x:f>
        <x:v>Healthy</x:v>
      </x:c>
      <x:c r="J154" s="11" t="n">
        <x:v>872</x:v>
      </x:c>
      <x:c r="K154" t="str">
        <x:v>Under Investigation</x:v>
      </x:c>
      <x:c r="L154" s="12" t="str">
        <x:f>IF(OR(K154="Rejected",K154="Under Investigation"),"Escalate Supply Review",IF(I154="Critical",IF(MOD(ROW(),2)=0,"Commercial Discount Candidate","Redistribution Required"),IF(I154="Watch",IF(MOD(ROW(),2)=0,"Allocate to Tender Opportunity","Prioritize Current Orders"),IF(I154="Normal","Prioritize Current Orders","Normal Earliest Expiry First Rotation"))))</x:f>
        <x:v>Escalate Supply Review</x:v>
      </x:c>
    </x:row>
    <x:row r="155">
      <x:c r="A155" t="str">
        <x:v>RX-HOSP-20</x:v>
      </x:c>
      <x:c r="B155" t="str">
        <x:v>Product Eta</x:v>
      </x:c>
      <x:c r="C155" t="str">
        <x:v>Central Warehouse C</x:v>
      </x:c>
      <x:c r="D155" t="str">
        <x:v>Ambient</x:v>
      </x:c>
      <x:c r="E155" s="8" t="n">
        <x:v>45848</x:v>
      </x:c>
      <x:c r="F155" s="8" t="n">
        <x:v>46315</x:v>
      </x:c>
      <x:c r="G155" s="9" t="n">
        <x:f>F155-TODAY()</x:f>
        <x:v>124</x:v>
      </x:c>
      <x:c r="H155" s="10" t="n">
        <x:f>G155/30</x:f>
        <x:v>4.133333333333334</x:v>
      </x:c>
      <x:c r="I155" t="str">
        <x:f>IF(H155&lt;3,"Critical",IF(H155&lt;=6,"Watch",IF(H155&lt;=12,"Normal","Healthy")))</x:f>
        <x:v>Watch</x:v>
      </x:c>
      <x:c r="J155" s="11" t="n">
        <x:v>1093</x:v>
      </x:c>
      <x:c r="K155" t="str">
        <x:v>Quarantine</x:v>
      </x:c>
      <x:c r="L155" s="12" t="str">
        <x:f>IF(OR(K155="Rejected",K155="Under Investigation"),"Escalate Supply Review",IF(I155="Critical",IF(MOD(ROW(),2)=0,"Commercial Discount Candidate","Redistribution Required"),IF(I155="Watch",IF(MOD(ROW(),2)=0,"Allocate to Tender Opportunity","Prioritize Current Orders"),IF(I155="Normal","Prioritize Current Orders","Normal Earliest Expiry First Rotation"))))</x:f>
        <x:v>Prioritize Current Orders</x:v>
      </x:c>
    </x:row>
    <x:row r="156">
      <x:c r="A156" t="str">
        <x:v>BIO-DERM-80</x:v>
      </x:c>
      <x:c r="B156" t="str">
        <x:v>Product Theta</x:v>
      </x:c>
      <x:c r="C156" t="str">
        <x:v>Quality Warehouse A</x:v>
      </x:c>
      <x:c r="D156" t="str">
        <x:v>Refrigerated (2-8 C)</x:v>
      </x:c>
      <x:c r="E156" s="8" t="n">
        <x:v>45879</x:v>
      </x:c>
      <x:c r="F156" s="8" t="n">
        <x:v>46376</x:v>
      </x:c>
      <x:c r="G156" s="9" t="n">
        <x:f>F156-TODAY()</x:f>
        <x:v>185</x:v>
      </x:c>
      <x:c r="H156" s="10" t="n">
        <x:f>G156/30</x:f>
        <x:v>6.166666666666667</x:v>
      </x:c>
      <x:c r="I156" t="str">
        <x:f>IF(H156&lt;3,"Critical",IF(H156&lt;=6,"Watch",IF(H156&lt;=12,"Normal","Healthy")))</x:f>
        <x:v>Normal</x:v>
      </x:c>
      <x:c r="J156" s="11" t="n">
        <x:v>1314</x:v>
      </x:c>
      <x:c r="K156" t="str">
        <x:v>Released for Sale</x:v>
      </x:c>
      <x:c r="L156" s="12" t="str">
        <x:f>IF(OR(K156="Rejected",K156="Under Investigation"),"Escalate Supply Review",IF(I156="Critical",IF(MOD(ROW(),2)=0,"Commercial Discount Candidate","Redistribution Required"),IF(I156="Watch",IF(MOD(ROW(),2)=0,"Allocate to Tender Opportunity","Prioritize Current Orders"),IF(I156="Normal","Prioritize Current Orders","Normal Earliest Expiry First Rotation"))))</x:f>
        <x:v>Prioritize Current Orders</x:v>
      </x:c>
    </x:row>
    <x:row r="157">
      <x:c r="A157" t="str">
        <x:v>RX-ONC-ORAL</x:v>
      </x:c>
      <x:c r="B157" t="str">
        <x:v>Product Iota</x:v>
      </x:c>
      <x:c r="C157" t="str">
        <x:v>Central Warehouse A</x:v>
      </x:c>
      <x:c r="D157" t="str">
        <x:v>Ambient</x:v>
      </x:c>
      <x:c r="E157" s="8" t="n">
        <x:v>45910</x:v>
      </x:c>
      <x:c r="F157" s="8" t="n">
        <x:v>46438</x:v>
      </x:c>
      <x:c r="G157" s="9" t="n">
        <x:f>F157-TODAY()</x:f>
        <x:v>247</x:v>
      </x:c>
      <x:c r="H157" s="10" t="n">
        <x:f>G157/30</x:f>
        <x:v>8.233333333333333</x:v>
      </x:c>
      <x:c r="I157" t="str">
        <x:f>IF(H157&lt;3,"Critical",IF(H157&lt;=6,"Watch",IF(H157&lt;=12,"Normal","Healthy")))</x:f>
        <x:v>Normal</x:v>
      </x:c>
      <x:c r="J157" s="11" t="n">
        <x:v>1535</x:v>
      </x:c>
      <x:c r="K157" t="str">
        <x:v>Released for Sale</x:v>
      </x:c>
      <x:c r="L157" s="12" t="str">
        <x:f>IF(OR(K157="Rejected",K157="Under Investigation"),"Escalate Supply Review",IF(I157="Critical",IF(MOD(ROW(),2)=0,"Commercial Discount Candidate","Redistribution Required"),IF(I157="Watch",IF(MOD(ROW(),2)=0,"Allocate to Tender Opportunity","Prioritize Current Orders"),IF(I157="Normal","Prioritize Current Orders","Normal Earliest Expiry First Rotation"))))</x:f>
        <x:v>Prioritize Current Orders</x:v>
      </x:c>
    </x:row>
    <x:row r="158">
      <x:c r="A158" t="str">
        <x:v>RX-RARE-INF</x:v>
      </x:c>
      <x:c r="B158" t="str">
        <x:v>Product Kappa</x:v>
      </x:c>
      <x:c r="C158" t="str">
        <x:v>Central Warehouse B</x:v>
      </x:c>
      <x:c r="D158" t="str">
        <x:v>Refrigerated (2-8 C)</x:v>
      </x:c>
      <x:c r="E158" s="8" t="n">
        <x:v>45940</x:v>
      </x:c>
      <x:c r="F158" s="8" t="n">
        <x:v>46497</x:v>
      </x:c>
      <x:c r="G158" s="9" t="n">
        <x:f>F158-TODAY()</x:f>
        <x:v>306</x:v>
      </x:c>
      <x:c r="H158" s="10" t="n">
        <x:f>G158/30</x:f>
        <x:v>10.2</x:v>
      </x:c>
      <x:c r="I158" t="str">
        <x:f>IF(H158&lt;3,"Critical",IF(H158&lt;=6,"Watch",IF(H158&lt;=12,"Normal","Healthy")))</x:f>
        <x:v>Normal</x:v>
      </x:c>
      <x:c r="J158" s="11" t="n">
        <x:v>1756</x:v>
      </x:c>
      <x:c r="K158" t="str">
        <x:v>Under Investigation</x:v>
      </x:c>
      <x:c r="L158" s="12" t="str">
        <x:f>IF(OR(K158="Rejected",K158="Under Investigation"),"Escalate Supply Review",IF(I158="Critical",IF(MOD(ROW(),2)=0,"Commercial Discount Candidate","Redistribution Required"),IF(I158="Watch",IF(MOD(ROW(),2)=0,"Allocate to Tender Opportunity","Prioritize Current Orders"),IF(I158="Normal","Prioritize Current Orders","Normal Earliest Expiry First Rotation"))))</x:f>
        <x:v>Escalate Supply Review</x:v>
      </x:c>
    </x:row>
    <x:row r="159">
      <x:c r="A159" t="str">
        <x:v>DX-GENE-02</x:v>
      </x:c>
      <x:c r="B159" t="str">
        <x:v>Product Lambda</x:v>
      </x:c>
      <x:c r="C159" t="str">
        <x:v>Regional Warehouse B</x:v>
      </x:c>
      <x:c r="D159" t="str">
        <x:v>Ambient</x:v>
      </x:c>
      <x:c r="E159" s="8" t="n">
        <x:v>45971</x:v>
      </x:c>
      <x:c r="F159" s="8" t="n">
        <x:v>46558</x:v>
      </x:c>
      <x:c r="G159" s="9" t="n">
        <x:f>F159-TODAY()</x:f>
        <x:v>367</x:v>
      </x:c>
      <x:c r="H159" s="10" t="n">
        <x:f>G159/30</x:f>
        <x:v>12.233333333333333</x:v>
      </x:c>
      <x:c r="I159" t="str">
        <x:f>IF(H159&lt;3,"Critical",IF(H159&lt;=6,"Watch",IF(H159&lt;=12,"Normal","Healthy")))</x:f>
        <x:v>Healthy</x:v>
      </x:c>
      <x:c r="J159" s="11" t="n">
        <x:v>177</x:v>
      </x:c>
      <x:c r="K159" t="str">
        <x:v>Quarantine</x:v>
      </x:c>
      <x:c r="L159" s="12" t="str">
        <x:f>IF(OR(K159="Rejected",K159="Under Investigation"),"Escalate Supply Review",IF(I159="Critical",IF(MOD(ROW(),2)=0,"Commercial Discount Candidate","Redistribution Required"),IF(I159="Watch",IF(MOD(ROW(),2)=0,"Allocate to Tender Opportunity","Prioritize Current Orders"),IF(I159="Normal","Prioritize Current Orders","Normal Earliest Expiry First Rotation"))))</x:f>
        <x:v>Normal Earliest Expiry First Rotation</x:v>
      </x:c>
    </x:row>
    <x:row r="160">
      <x:c r="A160" t="str">
        <x:v>SVC-PAT-01</x:v>
      </x:c>
      <x:c r="B160" t="str">
        <x:v>Product Mu</x:v>
      </x:c>
      <x:c r="C160" t="str">
        <x:v>Central Warehouse C</x:v>
      </x:c>
      <x:c r="D160" t="str">
        <x:v>Not Applicable</x:v>
      </x:c>
      <x:c r="E160" s="8" t="n">
        <x:v>46001</x:v>
      </x:c>
      <x:c r="F160" s="8" t="n">
        <x:v>46619</x:v>
      </x:c>
      <x:c r="G160" s="9" t="n">
        <x:f>F160-TODAY()</x:f>
        <x:v>428</x:v>
      </x:c>
      <x:c r="H160" s="10" t="n">
        <x:f>G160/30</x:f>
        <x:v>14.266666666666667</x:v>
      </x:c>
      <x:c r="I160" t="str">
        <x:f>IF(H160&lt;3,"Critical",IF(H160&lt;=6,"Watch",IF(H160&lt;=12,"Normal","Healthy")))</x:f>
        <x:v>Healthy</x:v>
      </x:c>
      <x:c r="J160" s="11" t="n">
        <x:v>398</x:v>
      </x:c>
      <x:c r="K160" t="str">
        <x:v>Released for Sale</x:v>
      </x:c>
      <x:c r="L160" s="12" t="str">
        <x:f>IF(OR(K160="Rejected",K160="Under Investigation"),"Escalate Supply Review",IF(I160="Critical",IF(MOD(ROW(),2)=0,"Commercial Discount Candidate","Redistribution Required"),IF(I160="Watch",IF(MOD(ROW(),2)=0,"Allocate to Tender Opportunity","Prioritize Current Orders"),IF(I160="Normal","Prioritize Current Orders","Normal Earliest Expiry First Rotation"))))</x:f>
        <x:v>Normal Earliest Expiry First Rotation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9593bbffc9a34b62"/>
  </x:tableParts>
</x:worksheet>
</file>