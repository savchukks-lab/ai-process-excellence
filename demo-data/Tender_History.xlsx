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de181f282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nder History" sheetId="1" r:id="R22ae9faed321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.00"/>
    <x:numFmt numFmtId="203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557A"/>
      </x:patternFill>
    </x:fill>
    <x:fill>
      <x:patternFill patternType="solid">
        <x:fgColor rgb="FFEEF3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8e13caf3042f4" /><Relationship Type="http://schemas.openxmlformats.org/officeDocument/2006/relationships/theme" Target="/xl/theme/theme1.xml" Id="R3f27c1aba1654beb" /><Relationship Type="http://schemas.openxmlformats.org/officeDocument/2006/relationships/sharedStrings" Target="/xl/sharedStrings.xml" Id="Rd62f3d122ee741b0" /><Relationship Type="http://schemas.openxmlformats.org/officeDocument/2006/relationships/worksheet" Target="/xl/worksheets/sheet1.xml" Id="R22ae9faed321404c" /></Relationships>
</file>

<file path=xl/tables/table1.xml><?xml version="1.0" encoding="utf-8"?>
<x:table xmlns:x="http://schemas.openxmlformats.org/spreadsheetml/2006/main" id="1" name="TenderHistory" displayName="TenderHistory" ref="A4:L124" headerRowCount="1">
  <x:tableColumns count="12">
    <x:tableColumn id="1" name="Tender Date"/>
    <x:tableColumn id="2" name="End Account"/>
    <x:tableColumn id="3" name="SKU"/>
    <x:tableColumn id="4" name="Product Name"/>
    <x:tableColumn id="5" name="Tender Volume"/>
    <x:tableColumn id="6" name="Gross Price"/>
    <x:tableColumn id="7" name="Winning Discount %"/>
    <x:tableColumn id="8" name="Winning Net Price"/>
    <x:tableColumn id="9" name="Tender Net Value"/>
    <x:tableColumn id="10" name="Result"/>
    <x:tableColumn id="11" name="Win / Loss Driver"/>
    <x:tableColumn id="12" name="Contract Ter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e6a504460040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13" hidden="0" customWidth="1"/>
    <x:col min="11" max="11" width="31" hidden="0" customWidth="1"/>
    <x:col min="12" max="12" width="20" hidden="0" customWidth="1"/>
  </x:cols>
  <x:sheetData>
    <x:row r="1" ht="28" customHeight="1">
      <x:c r="A1" s="4" t="str">
        <x:v>Internal Tender Precedent History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8" t="str">
        <x:v>Internal tender outcomes and award economics used to compare similar commercial requests.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t="str">
        <x:v>Tender Date</x:v>
      </x:c>
      <x:c r="B4" t="str">
        <x:v>End Account</x:v>
      </x:c>
      <x:c r="C4" t="str">
        <x:v>SKU</x:v>
      </x:c>
      <x:c r="D4" t="str">
        <x:v>Product Name</x:v>
      </x:c>
      <x:c r="E4" t="str">
        <x:v>Tender Volume</x:v>
      </x:c>
      <x:c r="F4" t="str">
        <x:v>Gross Price</x:v>
      </x:c>
      <x:c r="G4" t="str">
        <x:v>Winning Discount %</x:v>
      </x:c>
      <x:c r="H4" t="str">
        <x:v>Winning Net Price</x:v>
      </x:c>
      <x:c r="I4" t="str">
        <x:v>Tender Net Value</x:v>
      </x:c>
      <x:c r="J4" t="str">
        <x:v>Result</x:v>
      </x:c>
      <x:c r="K4" t="str">
        <x:v>Win / Loss Driver</x:v>
      </x:c>
      <x:c r="L4" t="str">
        <x:v>Contract Term</x:v>
      </x:c>
    </x:row>
    <x:row r="5">
      <x:c r="A5" s="9" t="n">
        <x:v>45301</x:v>
      </x:c>
      <x:c r="B5" t="str">
        <x:v>Apex National GPO</x:v>
      </x:c>
      <x:c r="C5" t="str">
        <x:v>RX-ONC-100</x:v>
      </x:c>
      <x:c r="D5" t="str">
        <x:v>Product Alpha</x:v>
      </x:c>
      <x:c r="E5" s="10" t="n">
        <x:v>200</x:v>
      </x:c>
      <x:c r="F5" s="11" t="n">
        <x:v>1776</x:v>
      </x:c>
      <x:c r="G5" s="12" t="n">
        <x:v>0.32</x:v>
      </x:c>
      <x:c r="H5" s="11" t="n">
        <x:f>F5*(1-G5)</x:f>
        <x:v>1207.6799999999998</x:v>
      </x:c>
      <x:c r="I5" s="11" t="n">
        <x:f>E5*H5</x:f>
        <x:v>241535.99999999997</x:v>
      </x:c>
      <x:c r="J5" t="str">
        <x:v>Split</x:v>
      </x:c>
      <x:c r="K5" t="str">
        <x:v>Lowest Price</x:v>
      </x:c>
      <x:c r="L5" t="str">
        <x:v>12 months</x:v>
      </x:c>
    </x:row>
    <x:row r="6">
      <x:c r="A6" s="9" t="n">
        <x:v>45699</x:v>
      </x:c>
      <x:c r="B6" t="str">
        <x:v>Cityline Payer Alliance</x:v>
      </x:c>
      <x:c r="C6" t="str">
        <x:v>RX-ONC-500</x:v>
      </x:c>
      <x:c r="D6" t="str">
        <x:v>Product Beta</x:v>
      </x:c>
      <x:c r="E6" s="10" t="n">
        <x:v>237</x:v>
      </x:c>
      <x:c r="F6" s="11" t="n">
        <x:v>6840</x:v>
      </x:c>
      <x:c r="G6" s="12" t="n">
        <x:v>0.295</x:v>
      </x:c>
      <x:c r="H6" s="11" t="n">
        <x:f>F6*(1-G6)</x:f>
        <x:v>4822.200000000001</x:v>
      </x:c>
      <x:c r="I6" s="11" t="n">
        <x:f>E6*H6</x:f>
        <x:v>1142861.4000000001</x:v>
      </x:c>
      <x:c r="J6" t="str">
        <x:v>Won</x:v>
      </x:c>
      <x:c r="K6" t="str">
        <x:v>Incumbent Supplier</x:v>
      </x:c>
      <x:c r="L6" t="str">
        <x:v>24 months</x:v>
      </x:c>
    </x:row>
    <x:row r="7">
      <x:c r="A7" s="9" t="n">
        <x:v>46093</x:v>
      </x:c>
      <x:c r="B7" t="str">
        <x:v>Orion Hospital Trust</x:v>
      </x:c>
      <x:c r="C7" t="str">
        <x:v>BIO-RA-200</x:v>
      </x:c>
      <x:c r="D7" t="str">
        <x:v>Product Gamma</x:v>
      </x:c>
      <x:c r="E7" s="10" t="n">
        <x:v>274</x:v>
      </x:c>
      <x:c r="F7" s="11" t="n">
        <x:v>1121</x:v>
      </x:c>
      <x:c r="G7" s="12" t="n">
        <x:v>0.27</x:v>
      </x:c>
      <x:c r="H7" s="11" t="n">
        <x:f>F7*(1-G7)</x:f>
        <x:v>818.3299999999999</x:v>
      </x:c>
      <x:c r="I7" s="11" t="n">
        <x:f>E7*H7</x:f>
        <x:v>224222.41999999998</x:v>
      </x:c>
      <x:c r="J7" t="str">
        <x:v>Lost</x:v>
      </x:c>
      <x:c r="K7" t="str">
        <x:v>Preferred Local Supplier</x:v>
      </x:c>
      <x:c r="L7" t="str">
        <x:v>36 months</x:v>
      </x:c>
    </x:row>
    <x:row r="8">
      <x:c r="A8" s="9" t="n">
        <x:v>45395</x:v>
      </x:c>
      <x:c r="B8" t="str">
        <x:v>Crescent Public Tender Authority</x:v>
      </x:c>
      <x:c r="C8" t="str">
        <x:v>RX-CARD-50</x:v>
      </x:c>
      <x:c r="D8" t="str">
        <x:v>Product Delta</x:v>
      </x:c>
      <x:c r="E8" s="10" t="n">
        <x:v>311</x:v>
      </x:c>
      <x:c r="F8" s="11" t="n">
        <x:v>394.8</x:v>
      </x:c>
      <x:c r="G8" s="12" t="n">
        <x:v>0.245</x:v>
      </x:c>
      <x:c r="H8" s="11" t="n">
        <x:f>F8*(1-G8)</x:f>
        <x:v>298.074</x:v>
      </x:c>
      <x:c r="I8" s="11" t="n">
        <x:f>E8*H8</x:f>
        <x:v>92701.01400000001</x:v>
      </x:c>
      <x:c r="J8" t="str">
        <x:v>Split</x:v>
      </x:c>
      <x:c r="K8" t="str">
        <x:v>Better Product Evidence</x:v>
      </x:c>
      <x:c r="L8" t="str">
        <x:v>Framework call-off</x:v>
      </x:c>
    </x:row>
    <x:row r="9">
      <x:c r="A9" s="9" t="n">
        <x:v>45791</x:v>
      </x:c>
      <x:c r="B9" t="str">
        <x:v>Union National Payer</x:v>
      </x:c>
      <x:c r="C9" t="str">
        <x:v>RX-RARE-10</x:v>
      </x:c>
      <x:c r="D9" t="str">
        <x:v>Product Epsilon</x:v>
      </x:c>
      <x:c r="E9" s="10" t="n">
        <x:v>348</x:v>
      </x:c>
      <x:c r="F9" s="11" t="n">
        <x:v>27170</x:v>
      </x:c>
      <x:c r="G9" s="12" t="n">
        <x:v>0.22</x:v>
      </x:c>
      <x:c r="H9" s="11" t="n">
        <x:f>F9*(1-G9)</x:f>
        <x:v>21192.600000000002</x:v>
      </x:c>
      <x:c r="I9" s="11" t="n">
        <x:f>E9*H9</x:f>
        <x:v>7375024.800000001</x:v>
      </x:c>
      <x:c r="J9" t="str">
        <x:v>Won</x:v>
      </x:c>
      <x:c r="K9" t="str">
        <x:v>Better Service Offering</x:v>
      </x:c>
      <x:c r="L9" t="str">
        <x:v>12 months</x:v>
      </x:c>
    </x:row>
    <x:row r="10">
      <x:c r="A10" s="9" t="n">
        <x:v>46188</x:v>
      </x:c>
      <x:c r="B10" t="str">
        <x:v>Atlas Hospital Network</x:v>
      </x:c>
      <x:c r="C10" t="str">
        <x:v>DX-COMP-01</x:v>
      </x:c>
      <x:c r="D10" t="str">
        <x:v>Product Zeta</x:v>
      </x:c>
      <x:c r="E10" s="10" t="n">
        <x:v>385</x:v>
      </x:c>
      <x:c r="F10" s="11" t="n">
        <x:v>902.5</x:v>
      </x:c>
      <x:c r="G10" s="12" t="n">
        <x:v>0.195</x:v>
      </x:c>
      <x:c r="H10" s="11" t="n">
        <x:f>F10*(1-G10)</x:f>
        <x:v>726.5124999999999</x:v>
      </x:c>
      <x:c r="I10" s="11" t="n">
        <x:f>E10*H10</x:f>
        <x:v>279707.3125</x:v>
      </x:c>
      <x:c r="J10" t="str">
        <x:v>Lost</x:v>
      </x:c>
      <x:c r="K10" t="str">
        <x:v>Supply Assurance</x:v>
      </x:c>
      <x:c r="L10" t="str">
        <x:v>24 months</x:v>
      </x:c>
    </x:row>
    <x:row r="11">
      <x:c r="A11" s="9" t="n">
        <x:v>45489</x:v>
      </x:c>
      <x:c r="B11" t="str">
        <x:v>Europa Health Purchasing</x:v>
      </x:c>
      <x:c r="C11" t="str">
        <x:v>RX-HOSP-20</x:v>
      </x:c>
      <x:c r="D11" t="str">
        <x:v>Product Eta</x:v>
      </x:c>
      <x:c r="E11" s="10" t="n">
        <x:v>422</x:v>
      </x:c>
      <x:c r="F11" s="11" t="n">
        <x:v>1240.8</x:v>
      </x:c>
      <x:c r="G11" s="12" t="n">
        <x:v>0.17</x:v>
      </x:c>
      <x:c r="H11" s="11" t="n">
        <x:f>F11*(1-G11)</x:f>
        <x:v>1029.8639999999998</x:v>
      </x:c>
      <x:c r="I11" s="11" t="n">
        <x:f>E11*H11</x:f>
        <x:v>434602.6079999999</x:v>
      </x:c>
      <x:c r="J11" t="str">
        <x:v>Split</x:v>
      </x:c>
      <x:c r="K11" t="str">
        <x:v>Contract Duration</x:v>
      </x:c>
      <x:c r="L11" t="str">
        <x:v>36 months</x:v>
      </x:c>
    </x:row>
    <x:row r="12">
      <x:c r="A12" s="9" t="n">
        <x:v>45886</x:v>
      </x:c>
      <x:c r="B12" t="str">
        <x:v>BluePeak Payer Coalition</x:v>
      </x:c>
      <x:c r="C12" t="str">
        <x:v>BIO-DERM-80</x:v>
      </x:c>
      <x:c r="D12" t="str">
        <x:v>Product Theta</x:v>
      </x:c>
      <x:c r="E12" s="10" t="n">
        <x:v>459</x:v>
      </x:c>
      <x:c r="F12" s="11" t="n">
        <x:v>931</x:v>
      </x:c>
      <x:c r="G12" s="12" t="n">
        <x:v>0.145</x:v>
      </x:c>
      <x:c r="H12" s="11" t="n">
        <x:f>F12*(1-G12)</x:f>
        <x:v>796.005</x:v>
      </x:c>
      <x:c r="I12" s="11" t="n">
        <x:f>E12*H12</x:f>
        <x:v>365366.295</x:v>
      </x:c>
      <x:c r="J12" t="str">
        <x:v>Won</x:v>
      </x:c>
      <x:c r="K12" t="str">
        <x:v>Bundled Offer</x:v>
      </x:c>
      <x:c r="L12" t="str">
        <x:v>Framework call-off</x:v>
      </x:c>
    </x:row>
    <x:row r="13">
      <x:c r="A13" s="9" t="n">
        <x:v>46283</x:v>
      </x:c>
      <x:c r="B13" t="str">
        <x:v>Apex National GPO</x:v>
      </x:c>
      <x:c r="C13" t="str">
        <x:v>RX-ONC-ORAL</x:v>
      </x:c>
      <x:c r="D13" t="str">
        <x:v>Product Iota</x:v>
      </x:c>
      <x:c r="E13" s="10" t="n">
        <x:v>496</x:v>
      </x:c>
      <x:c r="F13" s="11" t="n">
        <x:v>9024</x:v>
      </x:c>
      <x:c r="G13" s="12" t="n">
        <x:v>0.12</x:v>
      </x:c>
      <x:c r="H13" s="11" t="n">
        <x:f>F13*(1-G13)</x:f>
        <x:v>7941.12</x:v>
      </x:c>
      <x:c r="I13" s="11" t="n">
        <x:f>E13*H13</x:f>
        <x:v>3938795.52</x:v>
      </x:c>
      <x:c r="J13" t="str">
        <x:v>Lost</x:v>
      </x:c>
      <x:c r="K13" t="str">
        <x:v>Technical Requirement Match</x:v>
      </x:c>
      <x:c r="L13" t="str">
        <x:v>12 months</x:v>
      </x:c>
    </x:row>
    <x:row r="14">
      <x:c r="A14" s="9" t="n">
        <x:v>45584</x:v>
      </x:c>
      <x:c r="B14" t="str">
        <x:v>Cityline Payer Alliance</x:v>
      </x:c>
      <x:c r="C14" t="str">
        <x:v>RX-RARE-INF</x:v>
      </x:c>
      <x:c r="D14" t="str">
        <x:v>Product Kappa</x:v>
      </x:c>
      <x:c r="E14" s="10" t="n">
        <x:v>533</x:v>
      </x:c>
      <x:c r="F14" s="11" t="n">
        <x:v>33060</x:v>
      </x:c>
      <x:c r="G14" s="12" t="n">
        <x:v>0.32</x:v>
      </x:c>
      <x:c r="H14" s="11" t="n">
        <x:f>F14*(1-G14)</x:f>
        <x:v>22480.8</x:v>
      </x:c>
      <x:c r="I14" s="11" t="n">
        <x:f>E14*H14</x:f>
        <x:v>11982266.4</x:v>
      </x:c>
      <x:c r="J14" t="str">
        <x:v>Split</x:v>
      </x:c>
      <x:c r="K14" t="str">
        <x:v>Relationship Advantage</x:v>
      </x:c>
      <x:c r="L14" t="str">
        <x:v>24 months</x:v>
      </x:c>
    </x:row>
    <x:row r="15">
      <x:c r="A15" s="9" t="n">
        <x:v>45981</x:v>
      </x:c>
      <x:c r="B15" t="str">
        <x:v>Orion Hospital Trust</x:v>
      </x:c>
      <x:c r="C15" t="str">
        <x:v>DX-GENE-02</x:v>
      </x:c>
      <x:c r="D15" t="str">
        <x:v>Product Lambda</x:v>
      </x:c>
      <x:c r="E15" s="10" t="n">
        <x:v>570</x:v>
      </x:c>
      <x:c r="F15" s="11" t="n">
        <x:v>1216</x:v>
      </x:c>
      <x:c r="G15" s="12" t="n">
        <x:v>0.295</x:v>
      </x:c>
      <x:c r="H15" s="11" t="n">
        <x:f>F15*(1-G15)</x:f>
        <x:v>857.2800000000001</x:v>
      </x:c>
      <x:c r="I15" s="11" t="n">
        <x:f>E15*H15</x:f>
        <x:v>488649.60000000003</x:v>
      </x:c>
      <x:c r="J15" t="str">
        <x:v>Won</x:v>
      </x:c>
      <x:c r="K15" t="str">
        <x:v>Lowest Price</x:v>
      </x:c>
      <x:c r="L15" t="str">
        <x:v>36 months</x:v>
      </x:c>
    </x:row>
    <x:row r="16">
      <x:c r="A16" s="9" t="n">
        <x:v>46377</x:v>
      </x:c>
      <x:c r="B16" t="str">
        <x:v>Crescent Public Tender Authority</x:v>
      </x:c>
      <x:c r="C16" t="str">
        <x:v>SVC-PAT-01</x:v>
      </x:c>
      <x:c r="D16" t="str">
        <x:v>Product Mu</x:v>
      </x:c>
      <x:c r="E16" s="10" t="n">
        <x:v>607</x:v>
      </x:c>
      <x:c r="F16" s="11" t="n">
        <x:v>42000</x:v>
      </x:c>
      <x:c r="G16" s="12" t="n">
        <x:v>0.27</x:v>
      </x:c>
      <x:c r="H16" s="11" t="n">
        <x:f>F16*(1-G16)</x:f>
        <x:v>30660</x:v>
      </x:c>
      <x:c r="I16" s="11" t="n">
        <x:f>E16*H16</x:f>
        <x:v>18610620</x:v>
      </x:c>
      <x:c r="J16" t="str">
        <x:v>Lost</x:v>
      </x:c>
      <x:c r="K16" t="str">
        <x:v>Incumbent Supplier</x:v>
      </x:c>
      <x:c r="L16" t="str">
        <x:v>Framework call-off</x:v>
      </x:c>
    </x:row>
    <x:row r="17">
      <x:c r="A17" s="9" t="n">
        <x:v>45313</x:v>
      </x:c>
      <x:c r="B17" t="str">
        <x:v>Union National Payer</x:v>
      </x:c>
      <x:c r="C17" t="str">
        <x:v>RX-ONC-100</x:v>
      </x:c>
      <x:c r="D17" t="str">
        <x:v>Product Alpha</x:v>
      </x:c>
      <x:c r="E17" s="10" t="n">
        <x:v>644</x:v>
      </x:c>
      <x:c r="F17" s="11" t="n">
        <x:v>1776</x:v>
      </x:c>
      <x:c r="G17" s="12" t="n">
        <x:v>0.245</x:v>
      </x:c>
      <x:c r="H17" s="11" t="n">
        <x:f>F17*(1-G17)</x:f>
        <x:v>1340.88</x:v>
      </x:c>
      <x:c r="I17" s="11" t="n">
        <x:f>E17*H17</x:f>
        <x:v>863526.7200000001</x:v>
      </x:c>
      <x:c r="J17" t="str">
        <x:v>Split</x:v>
      </x:c>
      <x:c r="K17" t="str">
        <x:v>Preferred Local Supplier</x:v>
      </x:c>
      <x:c r="L17" t="str">
        <x:v>12 months</x:v>
      </x:c>
    </x:row>
    <x:row r="18">
      <x:c r="A18" s="9" t="n">
        <x:v>45711</x:v>
      </x:c>
      <x:c r="B18" t="str">
        <x:v>Atlas Hospital Network</x:v>
      </x:c>
      <x:c r="C18" t="str">
        <x:v>RX-ONC-500</x:v>
      </x:c>
      <x:c r="D18" t="str">
        <x:v>Product Beta</x:v>
      </x:c>
      <x:c r="E18" s="10" t="n">
        <x:v>681</x:v>
      </x:c>
      <x:c r="F18" s="11" t="n">
        <x:v>6840</x:v>
      </x:c>
      <x:c r="G18" s="12" t="n">
        <x:v>0.22</x:v>
      </x:c>
      <x:c r="H18" s="11" t="n">
        <x:f>F18*(1-G18)</x:f>
        <x:v>5335.2</x:v>
      </x:c>
      <x:c r="I18" s="11" t="n">
        <x:f>E18*H18</x:f>
        <x:v>3633271.1999999997</x:v>
      </x:c>
      <x:c r="J18" t="str">
        <x:v>Won</x:v>
      </x:c>
      <x:c r="K18" t="str">
        <x:v>Better Product Evidence</x:v>
      </x:c>
      <x:c r="L18" t="str">
        <x:v>24 months</x:v>
      </x:c>
    </x:row>
    <x:row r="19">
      <x:c r="A19" s="9" t="n">
        <x:v>46105</x:v>
      </x:c>
      <x:c r="B19" t="str">
        <x:v>Europa Health Purchasing</x:v>
      </x:c>
      <x:c r="C19" t="str">
        <x:v>BIO-RA-200</x:v>
      </x:c>
      <x:c r="D19" t="str">
        <x:v>Product Gamma</x:v>
      </x:c>
      <x:c r="E19" s="10" t="n">
        <x:v>718</x:v>
      </x:c>
      <x:c r="F19" s="11" t="n">
        <x:v>1121</x:v>
      </x:c>
      <x:c r="G19" s="12" t="n">
        <x:v>0.195</x:v>
      </x:c>
      <x:c r="H19" s="11" t="n">
        <x:f>F19*(1-G19)</x:f>
        <x:v>902.405</x:v>
      </x:c>
      <x:c r="I19" s="11" t="n">
        <x:f>E19*H19</x:f>
        <x:v>647926.79</x:v>
      </x:c>
      <x:c r="J19" t="str">
        <x:v>Lost</x:v>
      </x:c>
      <x:c r="K19" t="str">
        <x:v>Better Service Offering</x:v>
      </x:c>
      <x:c r="L19" t="str">
        <x:v>36 months</x:v>
      </x:c>
    </x:row>
    <x:row r="20">
      <x:c r="A20" s="9" t="n">
        <x:v>45392</x:v>
      </x:c>
      <x:c r="B20" t="str">
        <x:v>BluePeak Payer Coalition</x:v>
      </x:c>
      <x:c r="C20" t="str">
        <x:v>RX-CARD-50</x:v>
      </x:c>
      <x:c r="D20" t="str">
        <x:v>Product Delta</x:v>
      </x:c>
      <x:c r="E20" s="10" t="n">
        <x:v>755</x:v>
      </x:c>
      <x:c r="F20" s="11" t="n">
        <x:v>394.8</x:v>
      </x:c>
      <x:c r="G20" s="12" t="n">
        <x:v>0.169</x:v>
      </x:c>
      <x:c r="H20" s="11" t="n">
        <x:f>F20*(1-G20)</x:f>
        <x:v>328.0788</x:v>
      </x:c>
      <x:c r="I20" s="11" t="n">
        <x:f>E20*H20</x:f>
        <x:v>247699.494</x:v>
      </x:c>
      <x:c r="J20" t="str">
        <x:v>Split</x:v>
      </x:c>
      <x:c r="K20" t="str">
        <x:v>Supply Assurance</x:v>
      </x:c>
      <x:c r="L20" t="str">
        <x:v>Framework call-off</x:v>
      </x:c>
    </x:row>
    <x:row r="21">
      <x:c r="A21" s="9" t="n">
        <x:v>45788</x:v>
      </x:c>
      <x:c r="B21" t="str">
        <x:v>Apex National GPO</x:v>
      </x:c>
      <x:c r="C21" t="str">
        <x:v>RX-RARE-10</x:v>
      </x:c>
      <x:c r="D21" t="str">
        <x:v>Product Epsilon</x:v>
      </x:c>
      <x:c r="E21" s="10" t="n">
        <x:v>792</x:v>
      </x:c>
      <x:c r="F21" s="11" t="n">
        <x:v>27170</x:v>
      </x:c>
      <x:c r="G21" s="12" t="n">
        <x:v>0.145</x:v>
      </x:c>
      <x:c r="H21" s="11" t="n">
        <x:f>F21*(1-G21)</x:f>
        <x:v>23230.35</x:v>
      </x:c>
      <x:c r="I21" s="11" t="n">
        <x:f>E21*H21</x:f>
        <x:v>18398437.2</x:v>
      </x:c>
      <x:c r="J21" t="str">
        <x:v>Won</x:v>
      </x:c>
      <x:c r="K21" t="str">
        <x:v>Contract Duration</x:v>
      </x:c>
      <x:c r="L21" t="str">
        <x:v>12 months</x:v>
      </x:c>
    </x:row>
    <x:row r="22">
      <x:c r="A22" s="9" t="n">
        <x:v>46185</x:v>
      </x:c>
      <x:c r="B22" t="str">
        <x:v>Cityline Payer Alliance</x:v>
      </x:c>
      <x:c r="C22" t="str">
        <x:v>DX-COMP-01</x:v>
      </x:c>
      <x:c r="D22" t="str">
        <x:v>Product Zeta</x:v>
      </x:c>
      <x:c r="E22" s="10" t="n">
        <x:v>829</x:v>
      </x:c>
      <x:c r="F22" s="11" t="n">
        <x:v>902.5</x:v>
      </x:c>
      <x:c r="G22" s="12" t="n">
        <x:v>0.12</x:v>
      </x:c>
      <x:c r="H22" s="11" t="n">
        <x:f>F22*(1-G22)</x:f>
        <x:v>794.2</x:v>
      </x:c>
      <x:c r="I22" s="11" t="n">
        <x:f>E22*H22</x:f>
        <x:v>658391.8</x:v>
      </x:c>
      <x:c r="J22" t="str">
        <x:v>Lost</x:v>
      </x:c>
      <x:c r="K22" t="str">
        <x:v>Bundled Offer</x:v>
      </x:c>
      <x:c r="L22" t="str">
        <x:v>24 months</x:v>
      </x:c>
    </x:row>
    <x:row r="23">
      <x:c r="A23" s="9" t="n">
        <x:v>45486</x:v>
      </x:c>
      <x:c r="B23" t="str">
        <x:v>Orion Hospital Trust</x:v>
      </x:c>
      <x:c r="C23" t="str">
        <x:v>RX-HOSP-20</x:v>
      </x:c>
      <x:c r="D23" t="str">
        <x:v>Product Eta</x:v>
      </x:c>
      <x:c r="E23" s="10" t="n">
        <x:v>866</x:v>
      </x:c>
      <x:c r="F23" s="11" t="n">
        <x:v>1240.8</x:v>
      </x:c>
      <x:c r="G23" s="12" t="n">
        <x:v>0.32</x:v>
      </x:c>
      <x:c r="H23" s="11" t="n">
        <x:f>F23*(1-G23)</x:f>
        <x:v>843.7439999999999</x:v>
      </x:c>
      <x:c r="I23" s="11" t="n">
        <x:f>E23*H23</x:f>
        <x:v>730682.3039999999</x:v>
      </x:c>
      <x:c r="J23" t="str">
        <x:v>Split</x:v>
      </x:c>
      <x:c r="K23" t="str">
        <x:v>Technical Requirement Match</x:v>
      </x:c>
      <x:c r="L23" t="str">
        <x:v>36 months</x:v>
      </x:c>
    </x:row>
    <x:row r="24">
      <x:c r="A24" s="9" t="n">
        <x:v>45883</x:v>
      </x:c>
      <x:c r="B24" t="str">
        <x:v>Crescent Public Tender Authority</x:v>
      </x:c>
      <x:c r="C24" t="str">
        <x:v>BIO-DERM-80</x:v>
      </x:c>
      <x:c r="D24" t="str">
        <x:v>Product Theta</x:v>
      </x:c>
      <x:c r="E24" s="10" t="n">
        <x:v>903</x:v>
      </x:c>
      <x:c r="F24" s="11" t="n">
        <x:v>931</x:v>
      </x:c>
      <x:c r="G24" s="12" t="n">
        <x:v>0.295</x:v>
      </x:c>
      <x:c r="H24" s="11" t="n">
        <x:f>F24*(1-G24)</x:f>
        <x:v>656.355</x:v>
      </x:c>
      <x:c r="I24" s="11" t="n">
        <x:f>E24*H24</x:f>
        <x:v>592688.5650000001</x:v>
      </x:c>
      <x:c r="J24" t="str">
        <x:v>Won</x:v>
      </x:c>
      <x:c r="K24" t="str">
        <x:v>Relationship Advantage</x:v>
      </x:c>
      <x:c r="L24" t="str">
        <x:v>Framework call-off</x:v>
      </x:c>
    </x:row>
    <x:row r="25">
      <x:c r="A25" s="9" t="n">
        <x:v>46280</x:v>
      </x:c>
      <x:c r="B25" t="str">
        <x:v>Union National Payer</x:v>
      </x:c>
      <x:c r="C25" t="str">
        <x:v>RX-ONC-ORAL</x:v>
      </x:c>
      <x:c r="D25" t="str">
        <x:v>Product Iota</x:v>
      </x:c>
      <x:c r="E25" s="10" t="n">
        <x:v>940</x:v>
      </x:c>
      <x:c r="F25" s="11" t="n">
        <x:v>9024</x:v>
      </x:c>
      <x:c r="G25" s="12" t="n">
        <x:v>0.27</x:v>
      </x:c>
      <x:c r="H25" s="11" t="n">
        <x:f>F25*(1-G25)</x:f>
        <x:v>6587.5199999999995</x:v>
      </x:c>
      <x:c r="I25" s="11" t="n">
        <x:f>E25*H25</x:f>
        <x:v>6192268.8</x:v>
      </x:c>
      <x:c r="J25" t="str">
        <x:v>Lost</x:v>
      </x:c>
      <x:c r="K25" t="str">
        <x:v>Lowest Price</x:v>
      </x:c>
      <x:c r="L25" t="str">
        <x:v>12 months</x:v>
      </x:c>
    </x:row>
    <x:row r="26">
      <x:c r="A26" s="9" t="n">
        <x:v>45581</x:v>
      </x:c>
      <x:c r="B26" t="str">
        <x:v>Atlas Hospital Network</x:v>
      </x:c>
      <x:c r="C26" t="str">
        <x:v>RX-RARE-INF</x:v>
      </x:c>
      <x:c r="D26" t="str">
        <x:v>Product Kappa</x:v>
      </x:c>
      <x:c r="E26" s="10" t="n">
        <x:v>977</x:v>
      </x:c>
      <x:c r="F26" s="11" t="n">
        <x:v>33060</x:v>
      </x:c>
      <x:c r="G26" s="12" t="n">
        <x:v>0.245</x:v>
      </x:c>
      <x:c r="H26" s="11" t="n">
        <x:f>F26*(1-G26)</x:f>
        <x:v>24960.3</x:v>
      </x:c>
      <x:c r="I26" s="11" t="n">
        <x:f>E26*H26</x:f>
        <x:v>24386213.099999998</x:v>
      </x:c>
      <x:c r="J26" t="str">
        <x:v>Split</x:v>
      </x:c>
      <x:c r="K26" t="str">
        <x:v>Incumbent Supplier</x:v>
      </x:c>
      <x:c r="L26" t="str">
        <x:v>24 months</x:v>
      </x:c>
    </x:row>
    <x:row r="27">
      <x:c r="A27" s="9" t="n">
        <x:v>45978</x:v>
      </x:c>
      <x:c r="B27" t="str">
        <x:v>Europa Health Purchasing</x:v>
      </x:c>
      <x:c r="C27" t="str">
        <x:v>DX-GENE-02</x:v>
      </x:c>
      <x:c r="D27" t="str">
        <x:v>Product Lambda</x:v>
      </x:c>
      <x:c r="E27" s="10" t="n">
        <x:v>1014</x:v>
      </x:c>
      <x:c r="F27" s="11" t="n">
        <x:v>1216</x:v>
      </x:c>
      <x:c r="G27" s="12" t="n">
        <x:v>0.22</x:v>
      </x:c>
      <x:c r="H27" s="11" t="n">
        <x:f>F27*(1-G27)</x:f>
        <x:v>948.48</x:v>
      </x:c>
      <x:c r="I27" s="11" t="n">
        <x:f>E27*H27</x:f>
        <x:v>961758.72</x:v>
      </x:c>
      <x:c r="J27" t="str">
        <x:v>Won</x:v>
      </x:c>
      <x:c r="K27" t="str">
        <x:v>Preferred Local Supplier</x:v>
      </x:c>
      <x:c r="L27" t="str">
        <x:v>36 months</x:v>
      </x:c>
    </x:row>
    <x:row r="28">
      <x:c r="A28" s="9" t="n">
        <x:v>46374</x:v>
      </x:c>
      <x:c r="B28" t="str">
        <x:v>BluePeak Payer Coalition</x:v>
      </x:c>
      <x:c r="C28" t="str">
        <x:v>SVC-PAT-01</x:v>
      </x:c>
      <x:c r="D28" t="str">
        <x:v>Product Mu</x:v>
      </x:c>
      <x:c r="E28" s="10" t="n">
        <x:v>1051</x:v>
      </x:c>
      <x:c r="F28" s="11" t="n">
        <x:v>42000</x:v>
      </x:c>
      <x:c r="G28" s="12" t="n">
        <x:v>0.195</x:v>
      </x:c>
      <x:c r="H28" s="11" t="n">
        <x:f>F28*(1-G28)</x:f>
        <x:v>33810</x:v>
      </x:c>
      <x:c r="I28" s="11" t="n">
        <x:f>E28*H28</x:f>
        <x:v>35534310</x:v>
      </x:c>
      <x:c r="J28" t="str">
        <x:v>Lost</x:v>
      </x:c>
      <x:c r="K28" t="str">
        <x:v>Better Product Evidence</x:v>
      </x:c>
      <x:c r="L28" t="str">
        <x:v>Framework call-off</x:v>
      </x:c>
    </x:row>
    <x:row r="29">
      <x:c r="A29" s="9" t="n">
        <x:v>45310</x:v>
      </x:c>
      <x:c r="B29" t="str">
        <x:v>Apex National GPO</x:v>
      </x:c>
      <x:c r="C29" t="str">
        <x:v>RX-ONC-100</x:v>
      </x:c>
      <x:c r="D29" t="str">
        <x:v>Product Alpha</x:v>
      </x:c>
      <x:c r="E29" s="10" t="n">
        <x:v>1088</x:v>
      </x:c>
      <x:c r="F29" s="11" t="n">
        <x:v>1776</x:v>
      </x:c>
      <x:c r="G29" s="12" t="n">
        <x:v>0.17</x:v>
      </x:c>
      <x:c r="H29" s="11" t="n">
        <x:f>F29*(1-G29)</x:f>
        <x:v>1474.08</x:v>
      </x:c>
      <x:c r="I29" s="11" t="n">
        <x:f>E29*H29</x:f>
        <x:v>1603799.04</x:v>
      </x:c>
      <x:c r="J29" t="str">
        <x:v>Split</x:v>
      </x:c>
      <x:c r="K29" t="str">
        <x:v>Better Service Offering</x:v>
      </x:c>
      <x:c r="L29" t="str">
        <x:v>12 months</x:v>
      </x:c>
    </x:row>
    <x:row r="30">
      <x:c r="A30" s="9" t="n">
        <x:v>45708</x:v>
      </x:c>
      <x:c r="B30" t="str">
        <x:v>Cityline Payer Alliance</x:v>
      </x:c>
      <x:c r="C30" t="str">
        <x:v>RX-ONC-500</x:v>
      </x:c>
      <x:c r="D30" t="str">
        <x:v>Product Beta</x:v>
      </x:c>
      <x:c r="E30" s="10" t="n">
        <x:v>1125</x:v>
      </x:c>
      <x:c r="F30" s="11" t="n">
        <x:v>6840</x:v>
      </x:c>
      <x:c r="G30" s="12" t="n">
        <x:v>0.145</x:v>
      </x:c>
      <x:c r="H30" s="11" t="n">
        <x:f>F30*(1-G30)</x:f>
        <x:v>5848.2</x:v>
      </x:c>
      <x:c r="I30" s="11" t="n">
        <x:f>E30*H30</x:f>
        <x:v>6579225</x:v>
      </x:c>
      <x:c r="J30" t="str">
        <x:v>Won</x:v>
      </x:c>
      <x:c r="K30" t="str">
        <x:v>Supply Assurance</x:v>
      </x:c>
      <x:c r="L30" t="str">
        <x:v>24 months</x:v>
      </x:c>
    </x:row>
    <x:row r="31">
      <x:c r="A31" s="9" t="n">
        <x:v>46102</x:v>
      </x:c>
      <x:c r="B31" t="str">
        <x:v>Orion Hospital Trust</x:v>
      </x:c>
      <x:c r="C31" t="str">
        <x:v>BIO-RA-200</x:v>
      </x:c>
      <x:c r="D31" t="str">
        <x:v>Product Gamma</x:v>
      </x:c>
      <x:c r="E31" s="10" t="n">
        <x:v>1162</x:v>
      </x:c>
      <x:c r="F31" s="11" t="n">
        <x:v>1121</x:v>
      </x:c>
      <x:c r="G31" s="12" t="n">
        <x:v>0.12</x:v>
      </x:c>
      <x:c r="H31" s="11" t="n">
        <x:f>F31*(1-G31)</x:f>
        <x:v>986.48</x:v>
      </x:c>
      <x:c r="I31" s="11" t="n">
        <x:f>E31*H31</x:f>
        <x:v>1146289.76</x:v>
      </x:c>
      <x:c r="J31" t="str">
        <x:v>Lost</x:v>
      </x:c>
      <x:c r="K31" t="str">
        <x:v>Contract Duration</x:v>
      </x:c>
      <x:c r="L31" t="str">
        <x:v>36 months</x:v>
      </x:c>
    </x:row>
    <x:row r="32">
      <x:c r="A32" s="9" t="n">
        <x:v>45404</x:v>
      </x:c>
      <x:c r="B32" t="str">
        <x:v>Crescent Public Tender Authority</x:v>
      </x:c>
      <x:c r="C32" t="str">
        <x:v>RX-CARD-50</x:v>
      </x:c>
      <x:c r="D32" t="str">
        <x:v>Product Delta</x:v>
      </x:c>
      <x:c r="E32" s="10" t="n">
        <x:v>1199</x:v>
      </x:c>
      <x:c r="F32" s="11" t="n">
        <x:v>394.8</x:v>
      </x:c>
      <x:c r="G32" s="12" t="n">
        <x:v>0.319</x:v>
      </x:c>
      <x:c r="H32" s="11" t="n">
        <x:f>F32*(1-G32)</x:f>
        <x:v>268.85880000000003</x:v>
      </x:c>
      <x:c r="I32" s="11" t="n">
        <x:f>E32*H32</x:f>
        <x:v>322361.7012</x:v>
      </x:c>
      <x:c r="J32" t="str">
        <x:v>Split</x:v>
      </x:c>
      <x:c r="K32" t="str">
        <x:v>Bundled Offer</x:v>
      </x:c>
      <x:c r="L32" t="str">
        <x:v>Framework call-off</x:v>
      </x:c>
    </x:row>
    <x:row r="33">
      <x:c r="A33" s="9" t="n">
        <x:v>45800</x:v>
      </x:c>
      <x:c r="B33" t="str">
        <x:v>Union National Payer</x:v>
      </x:c>
      <x:c r="C33" t="str">
        <x:v>RX-RARE-10</x:v>
      </x:c>
      <x:c r="D33" t="str">
        <x:v>Product Epsilon</x:v>
      </x:c>
      <x:c r="E33" s="10" t="n">
        <x:v>1236</x:v>
      </x:c>
      <x:c r="F33" s="11" t="n">
        <x:v>27170</x:v>
      </x:c>
      <x:c r="G33" s="12" t="n">
        <x:v>0.295</x:v>
      </x:c>
      <x:c r="H33" s="11" t="n">
        <x:f>F33*(1-G33)</x:f>
        <x:v>19154.850000000002</x:v>
      </x:c>
      <x:c r="I33" s="11" t="n">
        <x:f>E33*H33</x:f>
        <x:v>23675394.6</x:v>
      </x:c>
      <x:c r="J33" t="str">
        <x:v>Won</x:v>
      </x:c>
      <x:c r="K33" t="str">
        <x:v>Technical Requirement Match</x:v>
      </x:c>
      <x:c r="L33" t="str">
        <x:v>12 months</x:v>
      </x:c>
    </x:row>
    <x:row r="34">
      <x:c r="A34" s="9" t="n">
        <x:v>46197</x:v>
      </x:c>
      <x:c r="B34" t="str">
        <x:v>Atlas Hospital Network</x:v>
      </x:c>
      <x:c r="C34" t="str">
        <x:v>DX-COMP-01</x:v>
      </x:c>
      <x:c r="D34" t="str">
        <x:v>Product Zeta</x:v>
      </x:c>
      <x:c r="E34" s="10" t="n">
        <x:v>1273</x:v>
      </x:c>
      <x:c r="F34" s="11" t="n">
        <x:v>902.5</x:v>
      </x:c>
      <x:c r="G34" s="12" t="n">
        <x:v>0.269</x:v>
      </x:c>
      <x:c r="H34" s="11" t="n">
        <x:f>F34*(1-G34)</x:f>
        <x:v>659.7275</x:v>
      </x:c>
      <x:c r="I34" s="11" t="n">
        <x:f>E34*H34</x:f>
        <x:v>839833.1074999999</x:v>
      </x:c>
      <x:c r="J34" t="str">
        <x:v>Lost</x:v>
      </x:c>
      <x:c r="K34" t="str">
        <x:v>Relationship Advantage</x:v>
      </x:c>
      <x:c r="L34" t="str">
        <x:v>24 months</x:v>
      </x:c>
    </x:row>
    <x:row r="35">
      <x:c r="A35" s="9" t="n">
        <x:v>45483</x:v>
      </x:c>
      <x:c r="B35" t="str">
        <x:v>Europa Health Purchasing</x:v>
      </x:c>
      <x:c r="C35" t="str">
        <x:v>RX-HOSP-20</x:v>
      </x:c>
      <x:c r="D35" t="str">
        <x:v>Product Eta</x:v>
      </x:c>
      <x:c r="E35" s="10" t="n">
        <x:v>1310</x:v>
      </x:c>
      <x:c r="F35" s="11" t="n">
        <x:v>1240.8</x:v>
      </x:c>
      <x:c r="G35" s="12" t="n">
        <x:v>0.245</x:v>
      </x:c>
      <x:c r="H35" s="11" t="n">
        <x:f>F35*(1-G35)</x:f>
        <x:v>936.804</x:v>
      </x:c>
      <x:c r="I35" s="11" t="n">
        <x:f>E35*H35</x:f>
        <x:v>1227213.24</x:v>
      </x:c>
      <x:c r="J35" t="str">
        <x:v>Split</x:v>
      </x:c>
      <x:c r="K35" t="str">
        <x:v>Lowest Price</x:v>
      </x:c>
      <x:c r="L35" t="str">
        <x:v>36 months</x:v>
      </x:c>
    </x:row>
    <x:row r="36">
      <x:c r="A36" s="9" t="n">
        <x:v>45880</x:v>
      </x:c>
      <x:c r="B36" t="str">
        <x:v>BluePeak Payer Coalition</x:v>
      </x:c>
      <x:c r="C36" t="str">
        <x:v>BIO-DERM-80</x:v>
      </x:c>
      <x:c r="D36" t="str">
        <x:v>Product Theta</x:v>
      </x:c>
      <x:c r="E36" s="10" t="n">
        <x:v>1347</x:v>
      </x:c>
      <x:c r="F36" s="11" t="n">
        <x:v>931</x:v>
      </x:c>
      <x:c r="G36" s="12" t="n">
        <x:v>0.22</x:v>
      </x:c>
      <x:c r="H36" s="11" t="n">
        <x:f>F36*(1-G36)</x:f>
        <x:v>726.1800000000001</x:v>
      </x:c>
      <x:c r="I36" s="11" t="n">
        <x:f>E36*H36</x:f>
        <x:v>978164.4600000001</x:v>
      </x:c>
      <x:c r="J36" t="str">
        <x:v>Won</x:v>
      </x:c>
      <x:c r="K36" t="str">
        <x:v>Incumbent Supplier</x:v>
      </x:c>
      <x:c r="L36" t="str">
        <x:v>Framework call-off</x:v>
      </x:c>
    </x:row>
    <x:row r="37">
      <x:c r="A37" s="9" t="n">
        <x:v>46277</x:v>
      </x:c>
      <x:c r="B37" t="str">
        <x:v>Apex National GPO</x:v>
      </x:c>
      <x:c r="C37" t="str">
        <x:v>RX-ONC-ORAL</x:v>
      </x:c>
      <x:c r="D37" t="str">
        <x:v>Product Iota</x:v>
      </x:c>
      <x:c r="E37" s="10" t="n">
        <x:v>1384</x:v>
      </x:c>
      <x:c r="F37" s="11" t="n">
        <x:v>9024</x:v>
      </x:c>
      <x:c r="G37" s="12" t="n">
        <x:v>0.195</x:v>
      </x:c>
      <x:c r="H37" s="11" t="n">
        <x:f>F37*(1-G37)</x:f>
        <x:v>7264.32</x:v>
      </x:c>
      <x:c r="I37" s="11" t="n">
        <x:f>E37*H37</x:f>
        <x:v>10053818.879999999</x:v>
      </x:c>
      <x:c r="J37" t="str">
        <x:v>Lost</x:v>
      </x:c>
      <x:c r="K37" t="str">
        <x:v>Preferred Local Supplier</x:v>
      </x:c>
      <x:c r="L37" t="str">
        <x:v>12 months</x:v>
      </x:c>
    </x:row>
    <x:row r="38">
      <x:c r="A38" s="9" t="n">
        <x:v>45578</x:v>
      </x:c>
      <x:c r="B38" t="str">
        <x:v>Cityline Payer Alliance</x:v>
      </x:c>
      <x:c r="C38" t="str">
        <x:v>RX-RARE-INF</x:v>
      </x:c>
      <x:c r="D38" t="str">
        <x:v>Product Kappa</x:v>
      </x:c>
      <x:c r="E38" s="10" t="n">
        <x:v>1421</x:v>
      </x:c>
      <x:c r="F38" s="11" t="n">
        <x:v>33060</x:v>
      </x:c>
      <x:c r="G38" s="12" t="n">
        <x:v>0.17</x:v>
      </x:c>
      <x:c r="H38" s="11" t="n">
        <x:f>F38*(1-G38)</x:f>
        <x:v>27439.8</x:v>
      </x:c>
      <x:c r="I38" s="11" t="n">
        <x:f>E38*H38</x:f>
        <x:v>38991955.8</x:v>
      </x:c>
      <x:c r="J38" t="str">
        <x:v>Split</x:v>
      </x:c>
      <x:c r="K38" t="str">
        <x:v>Better Product Evidence</x:v>
      </x:c>
      <x:c r="L38" t="str">
        <x:v>24 months</x:v>
      </x:c>
    </x:row>
    <x:row r="39">
      <x:c r="A39" s="9" t="n">
        <x:v>45975</x:v>
      </x:c>
      <x:c r="B39" t="str">
        <x:v>Orion Hospital Trust</x:v>
      </x:c>
      <x:c r="C39" t="str">
        <x:v>DX-GENE-02</x:v>
      </x:c>
      <x:c r="D39" t="str">
        <x:v>Product Lambda</x:v>
      </x:c>
      <x:c r="E39" s="10" t="n">
        <x:v>1458</x:v>
      </x:c>
      <x:c r="F39" s="11" t="n">
        <x:v>1216</x:v>
      </x:c>
      <x:c r="G39" s="12" t="n">
        <x:v>0.145</x:v>
      </x:c>
      <x:c r="H39" s="11" t="n">
        <x:f>F39*(1-G39)</x:f>
        <x:v>1039.68</x:v>
      </x:c>
      <x:c r="I39" s="11" t="n">
        <x:f>E39*H39</x:f>
        <x:v>1515853.4400000002</x:v>
      </x:c>
      <x:c r="J39" t="str">
        <x:v>Won</x:v>
      </x:c>
      <x:c r="K39" t="str">
        <x:v>Better Service Offering</x:v>
      </x:c>
      <x:c r="L39" t="str">
        <x:v>36 months</x:v>
      </x:c>
    </x:row>
    <x:row r="40">
      <x:c r="A40" s="9" t="n">
        <x:v>46371</x:v>
      </x:c>
      <x:c r="B40" t="str">
        <x:v>Crescent Public Tender Authority</x:v>
      </x:c>
      <x:c r="C40" t="str">
        <x:v>SVC-PAT-01</x:v>
      </x:c>
      <x:c r="D40" t="str">
        <x:v>Product Mu</x:v>
      </x:c>
      <x:c r="E40" s="10" t="n">
        <x:v>1495</x:v>
      </x:c>
      <x:c r="F40" s="11" t="n">
        <x:v>42000</x:v>
      </x:c>
      <x:c r="G40" s="12" t="n">
        <x:v>0.12</x:v>
      </x:c>
      <x:c r="H40" s="11" t="n">
        <x:f>F40*(1-G40)</x:f>
        <x:v>36960</x:v>
      </x:c>
      <x:c r="I40" s="11" t="n">
        <x:f>E40*H40</x:f>
        <x:v>55255200</x:v>
      </x:c>
      <x:c r="J40" t="str">
        <x:v>Lost</x:v>
      </x:c>
      <x:c r="K40" t="str">
        <x:v>Supply Assurance</x:v>
      </x:c>
      <x:c r="L40" t="str">
        <x:v>Framework call-off</x:v>
      </x:c>
    </x:row>
    <x:row r="41">
      <x:c r="A41" s="9" t="n">
        <x:v>45307</x:v>
      </x:c>
      <x:c r="B41" t="str">
        <x:v>Union National Payer</x:v>
      </x:c>
      <x:c r="C41" t="str">
        <x:v>RX-ONC-100</x:v>
      </x:c>
      <x:c r="D41" t="str">
        <x:v>Product Alpha</x:v>
      </x:c>
      <x:c r="E41" s="10" t="n">
        <x:v>1532</x:v>
      </x:c>
      <x:c r="F41" s="11" t="n">
        <x:v>1776</x:v>
      </x:c>
      <x:c r="G41" s="12" t="n">
        <x:v>0.32</x:v>
      </x:c>
      <x:c r="H41" s="11" t="n">
        <x:f>F41*(1-G41)</x:f>
        <x:v>1207.6799999999998</x:v>
      </x:c>
      <x:c r="I41" s="11" t="n">
        <x:f>E41*H41</x:f>
        <x:v>1850165.7599999998</x:v>
      </x:c>
      <x:c r="J41" t="str">
        <x:v>Split</x:v>
      </x:c>
      <x:c r="K41" t="str">
        <x:v>Contract Duration</x:v>
      </x:c>
      <x:c r="L41" t="str">
        <x:v>12 months</x:v>
      </x:c>
    </x:row>
    <x:row r="42">
      <x:c r="A42" s="9" t="n">
        <x:v>45705</x:v>
      </x:c>
      <x:c r="B42" t="str">
        <x:v>Atlas Hospital Network</x:v>
      </x:c>
      <x:c r="C42" t="str">
        <x:v>RX-ONC-500</x:v>
      </x:c>
      <x:c r="D42" t="str">
        <x:v>Product Beta</x:v>
      </x:c>
      <x:c r="E42" s="10" t="n">
        <x:v>1569</x:v>
      </x:c>
      <x:c r="F42" s="11" t="n">
        <x:v>6840</x:v>
      </x:c>
      <x:c r="G42" s="12" t="n">
        <x:v>0.295</x:v>
      </x:c>
      <x:c r="H42" s="11" t="n">
        <x:f>F42*(1-G42)</x:f>
        <x:v>4822.200000000001</x:v>
      </x:c>
      <x:c r="I42" s="11" t="n">
        <x:f>E42*H42</x:f>
        <x:v>7566031.800000001</x:v>
      </x:c>
      <x:c r="J42" t="str">
        <x:v>Won</x:v>
      </x:c>
      <x:c r="K42" t="str">
        <x:v>Bundled Offer</x:v>
      </x:c>
      <x:c r="L42" t="str">
        <x:v>24 months</x:v>
      </x:c>
    </x:row>
    <x:row r="43">
      <x:c r="A43" s="9" t="n">
        <x:v>46099</x:v>
      </x:c>
      <x:c r="B43" t="str">
        <x:v>Europa Health Purchasing</x:v>
      </x:c>
      <x:c r="C43" t="str">
        <x:v>BIO-RA-200</x:v>
      </x:c>
      <x:c r="D43" t="str">
        <x:v>Product Gamma</x:v>
      </x:c>
      <x:c r="E43" s="10" t="n">
        <x:v>1606</x:v>
      </x:c>
      <x:c r="F43" s="11" t="n">
        <x:v>1121</x:v>
      </x:c>
      <x:c r="G43" s="12" t="n">
        <x:v>0.27</x:v>
      </x:c>
      <x:c r="H43" s="11" t="n">
        <x:f>F43*(1-G43)</x:f>
        <x:v>818.3299999999999</x:v>
      </x:c>
      <x:c r="I43" s="11" t="n">
        <x:f>E43*H43</x:f>
        <x:v>1314237.98</x:v>
      </x:c>
      <x:c r="J43" t="str">
        <x:v>Lost</x:v>
      </x:c>
      <x:c r="K43" t="str">
        <x:v>Technical Requirement Match</x:v>
      </x:c>
      <x:c r="L43" t="str">
        <x:v>36 months</x:v>
      </x:c>
    </x:row>
    <x:row r="44">
      <x:c r="A44" s="9" t="n">
        <x:v>45401</x:v>
      </x:c>
      <x:c r="B44" t="str">
        <x:v>BluePeak Payer Coalition</x:v>
      </x:c>
      <x:c r="C44" t="str">
        <x:v>RX-CARD-50</x:v>
      </x:c>
      <x:c r="D44" t="str">
        <x:v>Product Delta</x:v>
      </x:c>
      <x:c r="E44" s="10" t="n">
        <x:v>1643</x:v>
      </x:c>
      <x:c r="F44" s="11" t="n">
        <x:v>394.8</x:v>
      </x:c>
      <x:c r="G44" s="12" t="n">
        <x:v>0.245</x:v>
      </x:c>
      <x:c r="H44" s="11" t="n">
        <x:f>F44*(1-G44)</x:f>
        <x:v>298.074</x:v>
      </x:c>
      <x:c r="I44" s="11" t="n">
        <x:f>E44*H44</x:f>
        <x:v>489735.582</x:v>
      </x:c>
      <x:c r="J44" t="str">
        <x:v>Split</x:v>
      </x:c>
      <x:c r="K44" t="str">
        <x:v>Relationship Advantage</x:v>
      </x:c>
      <x:c r="L44" t="str">
        <x:v>Framework call-off</x:v>
      </x:c>
    </x:row>
    <x:row r="45">
      <x:c r="A45" s="9" t="n">
        <x:v>45797</x:v>
      </x:c>
      <x:c r="B45" t="str">
        <x:v>Apex National GPO</x:v>
      </x:c>
      <x:c r="C45" t="str">
        <x:v>RX-RARE-10</x:v>
      </x:c>
      <x:c r="D45" t="str">
        <x:v>Product Epsilon</x:v>
      </x:c>
      <x:c r="E45" s="10" t="n">
        <x:v>1680</x:v>
      </x:c>
      <x:c r="F45" s="11" t="n">
        <x:v>27170</x:v>
      </x:c>
      <x:c r="G45" s="12" t="n">
        <x:v>0.22</x:v>
      </x:c>
      <x:c r="H45" s="11" t="n">
        <x:f>F45*(1-G45)</x:f>
        <x:v>21192.600000000002</x:v>
      </x:c>
      <x:c r="I45" s="11" t="n">
        <x:f>E45*H45</x:f>
        <x:v>35603568</x:v>
      </x:c>
      <x:c r="J45" t="str">
        <x:v>Won</x:v>
      </x:c>
      <x:c r="K45" t="str">
        <x:v>Lowest Price</x:v>
      </x:c>
      <x:c r="L45" t="str">
        <x:v>12 months</x:v>
      </x:c>
    </x:row>
    <x:row r="46">
      <x:c r="A46" s="9" t="n">
        <x:v>46194</x:v>
      </x:c>
      <x:c r="B46" t="str">
        <x:v>Cityline Payer Alliance</x:v>
      </x:c>
      <x:c r="C46" t="str">
        <x:v>DX-COMP-01</x:v>
      </x:c>
      <x:c r="D46" t="str">
        <x:v>Product Zeta</x:v>
      </x:c>
      <x:c r="E46" s="10" t="n">
        <x:v>1717</x:v>
      </x:c>
      <x:c r="F46" s="11" t="n">
        <x:v>902.5</x:v>
      </x:c>
      <x:c r="G46" s="12" t="n">
        <x:v>0.195</x:v>
      </x:c>
      <x:c r="H46" s="11" t="n">
        <x:f>F46*(1-G46)</x:f>
        <x:v>726.5124999999999</x:v>
      </x:c>
      <x:c r="I46" s="11" t="n">
        <x:f>E46*H46</x:f>
        <x:v>1247421.9625</x:v>
      </x:c>
      <x:c r="J46" t="str">
        <x:v>Lost</x:v>
      </x:c>
      <x:c r="K46" t="str">
        <x:v>Incumbent Supplier</x:v>
      </x:c>
      <x:c r="L46" t="str">
        <x:v>24 months</x:v>
      </x:c>
    </x:row>
    <x:row r="47">
      <x:c r="A47" s="9" t="n">
        <x:v>45495</x:v>
      </x:c>
      <x:c r="B47" t="str">
        <x:v>Orion Hospital Trust</x:v>
      </x:c>
      <x:c r="C47" t="str">
        <x:v>RX-HOSP-20</x:v>
      </x:c>
      <x:c r="D47" t="str">
        <x:v>Product Eta</x:v>
      </x:c>
      <x:c r="E47" s="10" t="n">
        <x:v>1754</x:v>
      </x:c>
      <x:c r="F47" s="11" t="n">
        <x:v>1240.8</x:v>
      </x:c>
      <x:c r="G47" s="12" t="n">
        <x:v>0.17</x:v>
      </x:c>
      <x:c r="H47" s="11" t="n">
        <x:f>F47*(1-G47)</x:f>
        <x:v>1029.8639999999998</x:v>
      </x:c>
      <x:c r="I47" s="11" t="n">
        <x:f>E47*H47</x:f>
        <x:v>1806381.4559999998</x:v>
      </x:c>
      <x:c r="J47" t="str">
        <x:v>Split</x:v>
      </x:c>
      <x:c r="K47" t="str">
        <x:v>Preferred Local Supplier</x:v>
      </x:c>
      <x:c r="L47" t="str">
        <x:v>36 months</x:v>
      </x:c>
    </x:row>
    <x:row r="48">
      <x:c r="A48" s="9" t="n">
        <x:v>45892</x:v>
      </x:c>
      <x:c r="B48" t="str">
        <x:v>Crescent Public Tender Authority</x:v>
      </x:c>
      <x:c r="C48" t="str">
        <x:v>BIO-DERM-80</x:v>
      </x:c>
      <x:c r="D48" t="str">
        <x:v>Product Theta</x:v>
      </x:c>
      <x:c r="E48" s="10" t="n">
        <x:v>1791</x:v>
      </x:c>
      <x:c r="F48" s="11" t="n">
        <x:v>931</x:v>
      </x:c>
      <x:c r="G48" s="12" t="n">
        <x:v>0.145</x:v>
      </x:c>
      <x:c r="H48" s="11" t="n">
        <x:f>F48*(1-G48)</x:f>
        <x:v>796.005</x:v>
      </x:c>
      <x:c r="I48" s="11" t="n">
        <x:f>E48*H48</x:f>
        <x:v>1425644.955</x:v>
      </x:c>
      <x:c r="J48" t="str">
        <x:v>Won</x:v>
      </x:c>
      <x:c r="K48" t="str">
        <x:v>Better Product Evidence</x:v>
      </x:c>
      <x:c r="L48" t="str">
        <x:v>Framework call-off</x:v>
      </x:c>
    </x:row>
    <x:row r="49">
      <x:c r="A49" s="9" t="n">
        <x:v>46289</x:v>
      </x:c>
      <x:c r="B49" t="str">
        <x:v>Union National Payer</x:v>
      </x:c>
      <x:c r="C49" t="str">
        <x:v>RX-ONC-ORAL</x:v>
      </x:c>
      <x:c r="D49" t="str">
        <x:v>Product Iota</x:v>
      </x:c>
      <x:c r="E49" s="10" t="n">
        <x:v>1828</x:v>
      </x:c>
      <x:c r="F49" s="11" t="n">
        <x:v>9024</x:v>
      </x:c>
      <x:c r="G49" s="12" t="n">
        <x:v>0.12</x:v>
      </x:c>
      <x:c r="H49" s="11" t="n">
        <x:f>F49*(1-G49)</x:f>
        <x:v>7941.12</x:v>
      </x:c>
      <x:c r="I49" s="11" t="n">
        <x:f>E49*H49</x:f>
        <x:v>14516367.36</x:v>
      </x:c>
      <x:c r="J49" t="str">
        <x:v>Lost</x:v>
      </x:c>
      <x:c r="K49" t="str">
        <x:v>Better Service Offering</x:v>
      </x:c>
      <x:c r="L49" t="str">
        <x:v>12 months</x:v>
      </x:c>
    </x:row>
    <x:row r="50">
      <x:c r="A50" s="9" t="n">
        <x:v>45575</x:v>
      </x:c>
      <x:c r="B50" t="str">
        <x:v>Atlas Hospital Network</x:v>
      </x:c>
      <x:c r="C50" t="str">
        <x:v>RX-RARE-INF</x:v>
      </x:c>
      <x:c r="D50" t="str">
        <x:v>Product Kappa</x:v>
      </x:c>
      <x:c r="E50" s="10" t="n">
        <x:v>1865</x:v>
      </x:c>
      <x:c r="F50" s="11" t="n">
        <x:v>33060</x:v>
      </x:c>
      <x:c r="G50" s="12" t="n">
        <x:v>0.32</x:v>
      </x:c>
      <x:c r="H50" s="11" t="n">
        <x:f>F50*(1-G50)</x:f>
        <x:v>22480.8</x:v>
      </x:c>
      <x:c r="I50" s="11" t="n">
        <x:f>E50*H50</x:f>
        <x:v>41926692</x:v>
      </x:c>
      <x:c r="J50" t="str">
        <x:v>Split</x:v>
      </x:c>
      <x:c r="K50" t="str">
        <x:v>Supply Assurance</x:v>
      </x:c>
      <x:c r="L50" t="str">
        <x:v>24 months</x:v>
      </x:c>
    </x:row>
    <x:row r="51">
      <x:c r="A51" s="9" t="n">
        <x:v>45972</x:v>
      </x:c>
      <x:c r="B51" t="str">
        <x:v>Europa Health Purchasing</x:v>
      </x:c>
      <x:c r="C51" t="str">
        <x:v>DX-GENE-02</x:v>
      </x:c>
      <x:c r="D51" t="str">
        <x:v>Product Lambda</x:v>
      </x:c>
      <x:c r="E51" s="10" t="n">
        <x:v>1902</x:v>
      </x:c>
      <x:c r="F51" s="11" t="n">
        <x:v>1216</x:v>
      </x:c>
      <x:c r="G51" s="12" t="n">
        <x:v>0.295</x:v>
      </x:c>
      <x:c r="H51" s="11" t="n">
        <x:f>F51*(1-G51)</x:f>
        <x:v>857.2800000000001</x:v>
      </x:c>
      <x:c r="I51" s="11" t="n">
        <x:f>E51*H51</x:f>
        <x:v>1630546.56</x:v>
      </x:c>
      <x:c r="J51" t="str">
        <x:v>Won</x:v>
      </x:c>
      <x:c r="K51" t="str">
        <x:v>Contract Duration</x:v>
      </x:c>
      <x:c r="L51" t="str">
        <x:v>36 months</x:v>
      </x:c>
    </x:row>
    <x:row r="52">
      <x:c r="A52" s="9" t="n">
        <x:v>46368</x:v>
      </x:c>
      <x:c r="B52" t="str">
        <x:v>BluePeak Payer Coalition</x:v>
      </x:c>
      <x:c r="C52" t="str">
        <x:v>SVC-PAT-01</x:v>
      </x:c>
      <x:c r="D52" t="str">
        <x:v>Product Mu</x:v>
      </x:c>
      <x:c r="E52" s="10" t="n">
        <x:v>1939</x:v>
      </x:c>
      <x:c r="F52" s="11" t="n">
        <x:v>42000</x:v>
      </x:c>
      <x:c r="G52" s="12" t="n">
        <x:v>0.27</x:v>
      </x:c>
      <x:c r="H52" s="11" t="n">
        <x:f>F52*(1-G52)</x:f>
        <x:v>30660</x:v>
      </x:c>
      <x:c r="I52" s="11" t="n">
        <x:f>E52*H52</x:f>
        <x:v>59449740</x:v>
      </x:c>
      <x:c r="J52" t="str">
        <x:v>Lost</x:v>
      </x:c>
      <x:c r="K52" t="str">
        <x:v>Bundled Offer</x:v>
      </x:c>
      <x:c r="L52" t="str">
        <x:v>Framework call-off</x:v>
      </x:c>
    </x:row>
    <x:row r="53">
      <x:c r="A53" s="9" t="n">
        <x:v>45304</x:v>
      </x:c>
      <x:c r="B53" t="str">
        <x:v>Apex National GPO</x:v>
      </x:c>
      <x:c r="C53" t="str">
        <x:v>RX-ONC-100</x:v>
      </x:c>
      <x:c r="D53" t="str">
        <x:v>Product Alpha</x:v>
      </x:c>
      <x:c r="E53" s="10" t="n">
        <x:v>1976</x:v>
      </x:c>
      <x:c r="F53" s="11" t="n">
        <x:v>1776</x:v>
      </x:c>
      <x:c r="G53" s="12" t="n">
        <x:v>0.245</x:v>
      </x:c>
      <x:c r="H53" s="11" t="n">
        <x:f>F53*(1-G53)</x:f>
        <x:v>1340.88</x:v>
      </x:c>
      <x:c r="I53" s="11" t="n">
        <x:f>E53*H53</x:f>
        <x:v>2649578.8800000004</x:v>
      </x:c>
      <x:c r="J53" t="str">
        <x:v>Split</x:v>
      </x:c>
      <x:c r="K53" t="str">
        <x:v>Technical Requirement Match</x:v>
      </x:c>
      <x:c r="L53" t="str">
        <x:v>12 months</x:v>
      </x:c>
    </x:row>
    <x:row r="54">
      <x:c r="A54" s="9" t="n">
        <x:v>45702</x:v>
      </x:c>
      <x:c r="B54" t="str">
        <x:v>Cityline Payer Alliance</x:v>
      </x:c>
      <x:c r="C54" t="str">
        <x:v>RX-ONC-500</x:v>
      </x:c>
      <x:c r="D54" t="str">
        <x:v>Product Beta</x:v>
      </x:c>
      <x:c r="E54" s="10" t="n">
        <x:v>2013</x:v>
      </x:c>
      <x:c r="F54" s="11" t="n">
        <x:v>6840</x:v>
      </x:c>
      <x:c r="G54" s="12" t="n">
        <x:v>0.22</x:v>
      </x:c>
      <x:c r="H54" s="11" t="n">
        <x:f>F54*(1-G54)</x:f>
        <x:v>5335.2</x:v>
      </x:c>
      <x:c r="I54" s="11" t="n">
        <x:f>E54*H54</x:f>
        <x:v>10739757.6</x:v>
      </x:c>
      <x:c r="J54" t="str">
        <x:v>Won</x:v>
      </x:c>
      <x:c r="K54" t="str">
        <x:v>Relationship Advantage</x:v>
      </x:c>
      <x:c r="L54" t="str">
        <x:v>24 months</x:v>
      </x:c>
    </x:row>
    <x:row r="55">
      <x:c r="A55" s="9" t="n">
        <x:v>46096</x:v>
      </x:c>
      <x:c r="B55" t="str">
        <x:v>Orion Hospital Trust</x:v>
      </x:c>
      <x:c r="C55" t="str">
        <x:v>BIO-RA-200</x:v>
      </x:c>
      <x:c r="D55" t="str">
        <x:v>Product Gamma</x:v>
      </x:c>
      <x:c r="E55" s="10" t="n">
        <x:v>2050</x:v>
      </x:c>
      <x:c r="F55" s="11" t="n">
        <x:v>1121</x:v>
      </x:c>
      <x:c r="G55" s="12" t="n">
        <x:v>0.195</x:v>
      </x:c>
      <x:c r="H55" s="11" t="n">
        <x:f>F55*(1-G55)</x:f>
        <x:v>902.405</x:v>
      </x:c>
      <x:c r="I55" s="11" t="n">
        <x:f>E55*H55</x:f>
        <x:v>1849930.25</x:v>
      </x:c>
      <x:c r="J55" t="str">
        <x:v>Lost</x:v>
      </x:c>
      <x:c r="K55" t="str">
        <x:v>Lowest Price</x:v>
      </x:c>
      <x:c r="L55" t="str">
        <x:v>36 months</x:v>
      </x:c>
    </x:row>
    <x:row r="56">
      <x:c r="A56" s="9" t="n">
        <x:v>45398</x:v>
      </x:c>
      <x:c r="B56" t="str">
        <x:v>Crescent Public Tender Authority</x:v>
      </x:c>
      <x:c r="C56" t="str">
        <x:v>RX-CARD-50</x:v>
      </x:c>
      <x:c r="D56" t="str">
        <x:v>Product Delta</x:v>
      </x:c>
      <x:c r="E56" s="10" t="n">
        <x:v>2087</x:v>
      </x:c>
      <x:c r="F56" s="11" t="n">
        <x:v>394.8</x:v>
      </x:c>
      <x:c r="G56" s="12" t="n">
        <x:v>0.169</x:v>
      </x:c>
      <x:c r="H56" s="11" t="n">
        <x:f>F56*(1-G56)</x:f>
        <x:v>328.0788</x:v>
      </x:c>
      <x:c r="I56" s="11" t="n">
        <x:f>E56*H56</x:f>
        <x:v>684700.4556</x:v>
      </x:c>
      <x:c r="J56" t="str">
        <x:v>Split</x:v>
      </x:c>
      <x:c r="K56" t="str">
        <x:v>Incumbent Supplier</x:v>
      </x:c>
      <x:c r="L56" t="str">
        <x:v>Framework call-off</x:v>
      </x:c>
    </x:row>
    <x:row r="57">
      <x:c r="A57" s="9" t="n">
        <x:v>45794</x:v>
      </x:c>
      <x:c r="B57" t="str">
        <x:v>Union National Payer</x:v>
      </x:c>
      <x:c r="C57" t="str">
        <x:v>RX-RARE-10</x:v>
      </x:c>
      <x:c r="D57" t="str">
        <x:v>Product Epsilon</x:v>
      </x:c>
      <x:c r="E57" s="10" t="n">
        <x:v>2124</x:v>
      </x:c>
      <x:c r="F57" s="11" t="n">
        <x:v>27170</x:v>
      </x:c>
      <x:c r="G57" s="12" t="n">
        <x:v>0.145</x:v>
      </x:c>
      <x:c r="H57" s="11" t="n">
        <x:f>F57*(1-G57)</x:f>
        <x:v>23230.35</x:v>
      </x:c>
      <x:c r="I57" s="11" t="n">
        <x:f>E57*H57</x:f>
        <x:v>49341263.4</x:v>
      </x:c>
      <x:c r="J57" t="str">
        <x:v>Won</x:v>
      </x:c>
      <x:c r="K57" t="str">
        <x:v>Preferred Local Supplier</x:v>
      </x:c>
      <x:c r="L57" t="str">
        <x:v>12 months</x:v>
      </x:c>
    </x:row>
    <x:row r="58">
      <x:c r="A58" s="9" t="n">
        <x:v>46191</x:v>
      </x:c>
      <x:c r="B58" t="str">
        <x:v>Atlas Hospital Network</x:v>
      </x:c>
      <x:c r="C58" t="str">
        <x:v>DX-COMP-01</x:v>
      </x:c>
      <x:c r="D58" t="str">
        <x:v>Product Zeta</x:v>
      </x:c>
      <x:c r="E58" s="10" t="n">
        <x:v>2161</x:v>
      </x:c>
      <x:c r="F58" s="11" t="n">
        <x:v>902.5</x:v>
      </x:c>
      <x:c r="G58" s="12" t="n">
        <x:v>0.12</x:v>
      </x:c>
      <x:c r="H58" s="11" t="n">
        <x:f>F58*(1-G58)</x:f>
        <x:v>794.2</x:v>
      </x:c>
      <x:c r="I58" s="11" t="n">
        <x:f>E58*H58</x:f>
        <x:v>1716266.2000000002</x:v>
      </x:c>
      <x:c r="J58" t="str">
        <x:v>Lost</x:v>
      </x:c>
      <x:c r="K58" t="str">
        <x:v>Better Product Evidence</x:v>
      </x:c>
      <x:c r="L58" t="str">
        <x:v>24 months</x:v>
      </x:c>
    </x:row>
    <x:row r="59">
      <x:c r="A59" s="9" t="n">
        <x:v>45492</x:v>
      </x:c>
      <x:c r="B59" t="str">
        <x:v>Europa Health Purchasing</x:v>
      </x:c>
      <x:c r="C59" t="str">
        <x:v>RX-HOSP-20</x:v>
      </x:c>
      <x:c r="D59" t="str">
        <x:v>Product Eta</x:v>
      </x:c>
      <x:c r="E59" s="10" t="n">
        <x:v>2198</x:v>
      </x:c>
      <x:c r="F59" s="11" t="n">
        <x:v>1240.8</x:v>
      </x:c>
      <x:c r="G59" s="12" t="n">
        <x:v>0.32</x:v>
      </x:c>
      <x:c r="H59" s="11" t="n">
        <x:f>F59*(1-G59)</x:f>
        <x:v>843.7439999999999</x:v>
      </x:c>
      <x:c r="I59" s="11" t="n">
        <x:f>E59*H59</x:f>
        <x:v>1854549.312</x:v>
      </x:c>
      <x:c r="J59" t="str">
        <x:v>Split</x:v>
      </x:c>
      <x:c r="K59" t="str">
        <x:v>Better Service Offering</x:v>
      </x:c>
      <x:c r="L59" t="str">
        <x:v>36 months</x:v>
      </x:c>
    </x:row>
    <x:row r="60">
      <x:c r="A60" s="9" t="n">
        <x:v>45889</x:v>
      </x:c>
      <x:c r="B60" t="str">
        <x:v>BluePeak Payer Coalition</x:v>
      </x:c>
      <x:c r="C60" t="str">
        <x:v>BIO-DERM-80</x:v>
      </x:c>
      <x:c r="D60" t="str">
        <x:v>Product Theta</x:v>
      </x:c>
      <x:c r="E60" s="10" t="n">
        <x:v>2235</x:v>
      </x:c>
      <x:c r="F60" s="11" t="n">
        <x:v>931</x:v>
      </x:c>
      <x:c r="G60" s="12" t="n">
        <x:v>0.295</x:v>
      </x:c>
      <x:c r="H60" s="11" t="n">
        <x:f>F60*(1-G60)</x:f>
        <x:v>656.355</x:v>
      </x:c>
      <x:c r="I60" s="11" t="n">
        <x:f>E60*H60</x:f>
        <x:v>1466953.425</x:v>
      </x:c>
      <x:c r="J60" t="str">
        <x:v>Won</x:v>
      </x:c>
      <x:c r="K60" t="str">
        <x:v>Supply Assurance</x:v>
      </x:c>
      <x:c r="L60" t="str">
        <x:v>Framework call-off</x:v>
      </x:c>
    </x:row>
    <x:row r="61">
      <x:c r="A61" s="9" t="n">
        <x:v>46286</x:v>
      </x:c>
      <x:c r="B61" t="str">
        <x:v>Apex National GPO</x:v>
      </x:c>
      <x:c r="C61" t="str">
        <x:v>RX-ONC-ORAL</x:v>
      </x:c>
      <x:c r="D61" t="str">
        <x:v>Product Iota</x:v>
      </x:c>
      <x:c r="E61" s="10" t="n">
        <x:v>2272</x:v>
      </x:c>
      <x:c r="F61" s="11" t="n">
        <x:v>9024</x:v>
      </x:c>
      <x:c r="G61" s="12" t="n">
        <x:v>0.27</x:v>
      </x:c>
      <x:c r="H61" s="11" t="n">
        <x:f>F61*(1-G61)</x:f>
        <x:v>6587.5199999999995</x:v>
      </x:c>
      <x:c r="I61" s="11" t="n">
        <x:f>E61*H61</x:f>
        <x:v>14966845.44</x:v>
      </x:c>
      <x:c r="J61" t="str">
        <x:v>Lost</x:v>
      </x:c>
      <x:c r="K61" t="str">
        <x:v>Contract Duration</x:v>
      </x:c>
      <x:c r="L61" t="str">
        <x:v>12 months</x:v>
      </x:c>
    </x:row>
    <x:row r="62">
      <x:c r="A62" s="9" t="n">
        <x:v>45587</x:v>
      </x:c>
      <x:c r="B62" t="str">
        <x:v>Cityline Payer Alliance</x:v>
      </x:c>
      <x:c r="C62" t="str">
        <x:v>RX-RARE-INF</x:v>
      </x:c>
      <x:c r="D62" t="str">
        <x:v>Product Kappa</x:v>
      </x:c>
      <x:c r="E62" s="10" t="n">
        <x:v>2309</x:v>
      </x:c>
      <x:c r="F62" s="11" t="n">
        <x:v>33060</x:v>
      </x:c>
      <x:c r="G62" s="12" t="n">
        <x:v>0.245</x:v>
      </x:c>
      <x:c r="H62" s="11" t="n">
        <x:f>F62*(1-G62)</x:f>
        <x:v>24960.3</x:v>
      </x:c>
      <x:c r="I62" s="11" t="n">
        <x:f>E62*H62</x:f>
        <x:v>57633332.699999996</x:v>
      </x:c>
      <x:c r="J62" t="str">
        <x:v>Split</x:v>
      </x:c>
      <x:c r="K62" t="str">
        <x:v>Bundled Offer</x:v>
      </x:c>
      <x:c r="L62" t="str">
        <x:v>24 months</x:v>
      </x:c>
    </x:row>
    <x:row r="63">
      <x:c r="A63" s="9" t="n">
        <x:v>45984</x:v>
      </x:c>
      <x:c r="B63" t="str">
        <x:v>Orion Hospital Trust</x:v>
      </x:c>
      <x:c r="C63" t="str">
        <x:v>DX-GENE-02</x:v>
      </x:c>
      <x:c r="D63" t="str">
        <x:v>Product Lambda</x:v>
      </x:c>
      <x:c r="E63" s="10" t="n">
        <x:v>2346</x:v>
      </x:c>
      <x:c r="F63" s="11" t="n">
        <x:v>1216</x:v>
      </x:c>
      <x:c r="G63" s="12" t="n">
        <x:v>0.22</x:v>
      </x:c>
      <x:c r="H63" s="11" t="n">
        <x:f>F63*(1-G63)</x:f>
        <x:v>948.48</x:v>
      </x:c>
      <x:c r="I63" s="11" t="n">
        <x:f>E63*H63</x:f>
        <x:v>2225134.08</x:v>
      </x:c>
      <x:c r="J63" t="str">
        <x:v>Won</x:v>
      </x:c>
      <x:c r="K63" t="str">
        <x:v>Technical Requirement Match</x:v>
      </x:c>
      <x:c r="L63" t="str">
        <x:v>36 months</x:v>
      </x:c>
    </x:row>
    <x:row r="64">
      <x:c r="A64" s="9" t="n">
        <x:v>46380</x:v>
      </x:c>
      <x:c r="B64" t="str">
        <x:v>Crescent Public Tender Authority</x:v>
      </x:c>
      <x:c r="C64" t="str">
        <x:v>SVC-PAT-01</x:v>
      </x:c>
      <x:c r="D64" t="str">
        <x:v>Product Mu</x:v>
      </x:c>
      <x:c r="E64" s="10" t="n">
        <x:v>2383</x:v>
      </x:c>
      <x:c r="F64" s="11" t="n">
        <x:v>42000</x:v>
      </x:c>
      <x:c r="G64" s="12" t="n">
        <x:v>0.195</x:v>
      </x:c>
      <x:c r="H64" s="11" t="n">
        <x:f>F64*(1-G64)</x:f>
        <x:v>33810</x:v>
      </x:c>
      <x:c r="I64" s="11" t="n">
        <x:f>E64*H64</x:f>
        <x:v>80569230</x:v>
      </x:c>
      <x:c r="J64" t="str">
        <x:v>Lost</x:v>
      </x:c>
      <x:c r="K64" t="str">
        <x:v>Relationship Advantage</x:v>
      </x:c>
      <x:c r="L64" t="str">
        <x:v>Framework call-off</x:v>
      </x:c>
    </x:row>
    <x:row r="65">
      <x:c r="A65" s="9" t="n">
        <x:v>45301</x:v>
      </x:c>
      <x:c r="B65" t="str">
        <x:v>Union National Payer</x:v>
      </x:c>
      <x:c r="C65" t="str">
        <x:v>RX-ONC-100</x:v>
      </x:c>
      <x:c r="D65" t="str">
        <x:v>Product Alpha</x:v>
      </x:c>
      <x:c r="E65" s="10" t="n">
        <x:v>2420</x:v>
      </x:c>
      <x:c r="F65" s="11" t="n">
        <x:v>1776</x:v>
      </x:c>
      <x:c r="G65" s="12" t="n">
        <x:v>0.17</x:v>
      </x:c>
      <x:c r="H65" s="11" t="n">
        <x:f>F65*(1-G65)</x:f>
        <x:v>1474.08</x:v>
      </x:c>
      <x:c r="I65" s="11" t="n">
        <x:f>E65*H65</x:f>
        <x:v>3567273.5999999996</x:v>
      </x:c>
      <x:c r="J65" t="str">
        <x:v>Split</x:v>
      </x:c>
      <x:c r="K65" t="str">
        <x:v>Lowest Price</x:v>
      </x:c>
      <x:c r="L65" t="str">
        <x:v>12 months</x:v>
      </x:c>
    </x:row>
    <x:row r="66">
      <x:c r="A66" s="9" t="n">
        <x:v>45699</x:v>
      </x:c>
      <x:c r="B66" t="str">
        <x:v>Atlas Hospital Network</x:v>
      </x:c>
      <x:c r="C66" t="str">
        <x:v>RX-ONC-500</x:v>
      </x:c>
      <x:c r="D66" t="str">
        <x:v>Product Beta</x:v>
      </x:c>
      <x:c r="E66" s="10" t="n">
        <x:v>2457</x:v>
      </x:c>
      <x:c r="F66" s="11" t="n">
        <x:v>6840</x:v>
      </x:c>
      <x:c r="G66" s="12" t="n">
        <x:v>0.145</x:v>
      </x:c>
      <x:c r="H66" s="11" t="n">
        <x:f>F66*(1-G66)</x:f>
        <x:v>5848.2</x:v>
      </x:c>
      <x:c r="I66" s="11" t="n">
        <x:f>E66*H66</x:f>
        <x:v>14369027.4</x:v>
      </x:c>
      <x:c r="J66" t="str">
        <x:v>Won</x:v>
      </x:c>
      <x:c r="K66" t="str">
        <x:v>Incumbent Supplier</x:v>
      </x:c>
      <x:c r="L66" t="str">
        <x:v>24 months</x:v>
      </x:c>
    </x:row>
    <x:row r="67">
      <x:c r="A67" s="9" t="n">
        <x:v>46093</x:v>
      </x:c>
      <x:c r="B67" t="str">
        <x:v>Europa Health Purchasing</x:v>
      </x:c>
      <x:c r="C67" t="str">
        <x:v>BIO-RA-200</x:v>
      </x:c>
      <x:c r="D67" t="str">
        <x:v>Product Gamma</x:v>
      </x:c>
      <x:c r="E67" s="10" t="n">
        <x:v>2494</x:v>
      </x:c>
      <x:c r="F67" s="11" t="n">
        <x:v>1121</x:v>
      </x:c>
      <x:c r="G67" s="12" t="n">
        <x:v>0.12</x:v>
      </x:c>
      <x:c r="H67" s="11" t="n">
        <x:f>F67*(1-G67)</x:f>
        <x:v>986.48</x:v>
      </x:c>
      <x:c r="I67" s="11" t="n">
        <x:f>E67*H67</x:f>
        <x:v>2460281.12</x:v>
      </x:c>
      <x:c r="J67" t="str">
        <x:v>Lost</x:v>
      </x:c>
      <x:c r="K67" t="str">
        <x:v>Preferred Local Supplier</x:v>
      </x:c>
      <x:c r="L67" t="str">
        <x:v>36 months</x:v>
      </x:c>
    </x:row>
    <x:row r="68">
      <x:c r="A68" s="9" t="n">
        <x:v>45395</x:v>
      </x:c>
      <x:c r="B68" t="str">
        <x:v>BluePeak Payer Coalition</x:v>
      </x:c>
      <x:c r="C68" t="str">
        <x:v>RX-CARD-50</x:v>
      </x:c>
      <x:c r="D68" t="str">
        <x:v>Product Delta</x:v>
      </x:c>
      <x:c r="E68" s="10" t="n">
        <x:v>2531</x:v>
      </x:c>
      <x:c r="F68" s="11" t="n">
        <x:v>394.8</x:v>
      </x:c>
      <x:c r="G68" s="12" t="n">
        <x:v>0.319</x:v>
      </x:c>
      <x:c r="H68" s="11" t="n">
        <x:f>F68*(1-G68)</x:f>
        <x:v>268.85880000000003</x:v>
      </x:c>
      <x:c r="I68" s="11" t="n">
        <x:f>E68*H68</x:f>
        <x:v>680481.6228000001</x:v>
      </x:c>
      <x:c r="J68" t="str">
        <x:v>Split</x:v>
      </x:c>
      <x:c r="K68" t="str">
        <x:v>Better Product Evidence</x:v>
      </x:c>
      <x:c r="L68" t="str">
        <x:v>Framework call-off</x:v>
      </x:c>
    </x:row>
    <x:row r="69">
      <x:c r="A69" s="9" t="n">
        <x:v>45791</x:v>
      </x:c>
      <x:c r="B69" t="str">
        <x:v>Apex National GPO</x:v>
      </x:c>
      <x:c r="C69" t="str">
        <x:v>RX-RARE-10</x:v>
      </x:c>
      <x:c r="D69" t="str">
        <x:v>Product Epsilon</x:v>
      </x:c>
      <x:c r="E69" s="10" t="n">
        <x:v>2568</x:v>
      </x:c>
      <x:c r="F69" s="11" t="n">
        <x:v>27170</x:v>
      </x:c>
      <x:c r="G69" s="12" t="n">
        <x:v>0.295</x:v>
      </x:c>
      <x:c r="H69" s="11" t="n">
        <x:f>F69*(1-G69)</x:f>
        <x:v>19154.850000000002</x:v>
      </x:c>
      <x:c r="I69" s="11" t="n">
        <x:f>E69*H69</x:f>
        <x:v>49189654.800000004</x:v>
      </x:c>
      <x:c r="J69" t="str">
        <x:v>Won</x:v>
      </x:c>
      <x:c r="K69" t="str">
        <x:v>Better Service Offering</x:v>
      </x:c>
      <x:c r="L69" t="str">
        <x:v>12 months</x:v>
      </x:c>
    </x:row>
    <x:row r="70">
      <x:c r="A70" s="9" t="n">
        <x:v>46188</x:v>
      </x:c>
      <x:c r="B70" t="str">
        <x:v>Cityline Payer Alliance</x:v>
      </x:c>
      <x:c r="C70" t="str">
        <x:v>DX-COMP-01</x:v>
      </x:c>
      <x:c r="D70" t="str">
        <x:v>Product Zeta</x:v>
      </x:c>
      <x:c r="E70" s="10" t="n">
        <x:v>2605</x:v>
      </x:c>
      <x:c r="F70" s="11" t="n">
        <x:v>902.5</x:v>
      </x:c>
      <x:c r="G70" s="12" t="n">
        <x:v>0.269</x:v>
      </x:c>
      <x:c r="H70" s="11" t="n">
        <x:f>F70*(1-G70)</x:f>
        <x:v>659.7275</x:v>
      </x:c>
      <x:c r="I70" s="11" t="n">
        <x:f>E70*H70</x:f>
        <x:v>1718590.1375</x:v>
      </x:c>
      <x:c r="J70" t="str">
        <x:v>Lost</x:v>
      </x:c>
      <x:c r="K70" t="str">
        <x:v>Supply Assurance</x:v>
      </x:c>
      <x:c r="L70" t="str">
        <x:v>24 months</x:v>
      </x:c>
    </x:row>
    <x:row r="71">
      <x:c r="A71" s="9" t="n">
        <x:v>45489</x:v>
      </x:c>
      <x:c r="B71" t="str">
        <x:v>Orion Hospital Trust</x:v>
      </x:c>
      <x:c r="C71" t="str">
        <x:v>RX-HOSP-20</x:v>
      </x:c>
      <x:c r="D71" t="str">
        <x:v>Product Eta</x:v>
      </x:c>
      <x:c r="E71" s="10" t="n">
        <x:v>2642</x:v>
      </x:c>
      <x:c r="F71" s="11" t="n">
        <x:v>1240.8</x:v>
      </x:c>
      <x:c r="G71" s="12" t="n">
        <x:v>0.245</x:v>
      </x:c>
      <x:c r="H71" s="11" t="n">
        <x:f>F71*(1-G71)</x:f>
        <x:v>936.804</x:v>
      </x:c>
      <x:c r="I71" s="11" t="n">
        <x:f>E71*H71</x:f>
        <x:v>2475036.168</x:v>
      </x:c>
      <x:c r="J71" t="str">
        <x:v>Split</x:v>
      </x:c>
      <x:c r="K71" t="str">
        <x:v>Contract Duration</x:v>
      </x:c>
      <x:c r="L71" t="str">
        <x:v>36 months</x:v>
      </x:c>
    </x:row>
    <x:row r="72">
      <x:c r="A72" s="9" t="n">
        <x:v>45886</x:v>
      </x:c>
      <x:c r="B72" t="str">
        <x:v>Crescent Public Tender Authority</x:v>
      </x:c>
      <x:c r="C72" t="str">
        <x:v>BIO-DERM-80</x:v>
      </x:c>
      <x:c r="D72" t="str">
        <x:v>Product Theta</x:v>
      </x:c>
      <x:c r="E72" s="10" t="n">
        <x:v>2679</x:v>
      </x:c>
      <x:c r="F72" s="11" t="n">
        <x:v>931</x:v>
      </x:c>
      <x:c r="G72" s="12" t="n">
        <x:v>0.22</x:v>
      </x:c>
      <x:c r="H72" s="11" t="n">
        <x:f>F72*(1-G72)</x:f>
        <x:v>726.1800000000001</x:v>
      </x:c>
      <x:c r="I72" s="11" t="n">
        <x:f>E72*H72</x:f>
        <x:v>1945436.2200000002</x:v>
      </x:c>
      <x:c r="J72" t="str">
        <x:v>Won</x:v>
      </x:c>
      <x:c r="K72" t="str">
        <x:v>Bundled Offer</x:v>
      </x:c>
      <x:c r="L72" t="str">
        <x:v>Framework call-off</x:v>
      </x:c>
    </x:row>
    <x:row r="73">
      <x:c r="A73" s="9" t="n">
        <x:v>46283</x:v>
      </x:c>
      <x:c r="B73" t="str">
        <x:v>Union National Payer</x:v>
      </x:c>
      <x:c r="C73" t="str">
        <x:v>RX-ONC-ORAL</x:v>
      </x:c>
      <x:c r="D73" t="str">
        <x:v>Product Iota</x:v>
      </x:c>
      <x:c r="E73" s="10" t="n">
        <x:v>2716</x:v>
      </x:c>
      <x:c r="F73" s="11" t="n">
        <x:v>9024</x:v>
      </x:c>
      <x:c r="G73" s="12" t="n">
        <x:v>0.195</x:v>
      </x:c>
      <x:c r="H73" s="11" t="n">
        <x:f>F73*(1-G73)</x:f>
        <x:v>7264.32</x:v>
      </x:c>
      <x:c r="I73" s="11" t="n">
        <x:f>E73*H73</x:f>
        <x:v>19729893.12</x:v>
      </x:c>
      <x:c r="J73" t="str">
        <x:v>Lost</x:v>
      </x:c>
      <x:c r="K73" t="str">
        <x:v>Technical Requirement Match</x:v>
      </x:c>
      <x:c r="L73" t="str">
        <x:v>12 months</x:v>
      </x:c>
    </x:row>
    <x:row r="74">
      <x:c r="A74" s="9" t="n">
        <x:v>45584</x:v>
      </x:c>
      <x:c r="B74" t="str">
        <x:v>Atlas Hospital Network</x:v>
      </x:c>
      <x:c r="C74" t="str">
        <x:v>RX-RARE-INF</x:v>
      </x:c>
      <x:c r="D74" t="str">
        <x:v>Product Kappa</x:v>
      </x:c>
      <x:c r="E74" s="10" t="n">
        <x:v>2753</x:v>
      </x:c>
      <x:c r="F74" s="11" t="n">
        <x:v>33060</x:v>
      </x:c>
      <x:c r="G74" s="12" t="n">
        <x:v>0.17</x:v>
      </x:c>
      <x:c r="H74" s="11" t="n">
        <x:f>F74*(1-G74)</x:f>
        <x:v>27439.8</x:v>
      </x:c>
      <x:c r="I74" s="11" t="n">
        <x:f>E74*H74</x:f>
        <x:v>75541769.39999999</x:v>
      </x:c>
      <x:c r="J74" t="str">
        <x:v>Split</x:v>
      </x:c>
      <x:c r="K74" t="str">
        <x:v>Relationship Advantage</x:v>
      </x:c>
      <x:c r="L74" t="str">
        <x:v>24 months</x:v>
      </x:c>
    </x:row>
    <x:row r="75">
      <x:c r="A75" s="9" t="n">
        <x:v>45981</x:v>
      </x:c>
      <x:c r="B75" t="str">
        <x:v>Europa Health Purchasing</x:v>
      </x:c>
      <x:c r="C75" t="str">
        <x:v>DX-GENE-02</x:v>
      </x:c>
      <x:c r="D75" t="str">
        <x:v>Product Lambda</x:v>
      </x:c>
      <x:c r="E75" s="10" t="n">
        <x:v>2790</x:v>
      </x:c>
      <x:c r="F75" s="11" t="n">
        <x:v>1216</x:v>
      </x:c>
      <x:c r="G75" s="12" t="n">
        <x:v>0.145</x:v>
      </x:c>
      <x:c r="H75" s="11" t="n">
        <x:f>F75*(1-G75)</x:f>
        <x:v>1039.68</x:v>
      </x:c>
      <x:c r="I75" s="11" t="n">
        <x:f>E75*H75</x:f>
        <x:v>2900707.2</x:v>
      </x:c>
      <x:c r="J75" t="str">
        <x:v>Won</x:v>
      </x:c>
      <x:c r="K75" t="str">
        <x:v>Lowest Price</x:v>
      </x:c>
      <x:c r="L75" t="str">
        <x:v>36 months</x:v>
      </x:c>
    </x:row>
    <x:row r="76">
      <x:c r="A76" s="9" t="n">
        <x:v>46377</x:v>
      </x:c>
      <x:c r="B76" t="str">
        <x:v>BluePeak Payer Coalition</x:v>
      </x:c>
      <x:c r="C76" t="str">
        <x:v>SVC-PAT-01</x:v>
      </x:c>
      <x:c r="D76" t="str">
        <x:v>Product Mu</x:v>
      </x:c>
      <x:c r="E76" s="10" t="n">
        <x:v>2827</x:v>
      </x:c>
      <x:c r="F76" s="11" t="n">
        <x:v>42000</x:v>
      </x:c>
      <x:c r="G76" s="12" t="n">
        <x:v>0.12</x:v>
      </x:c>
      <x:c r="H76" s="11" t="n">
        <x:f>F76*(1-G76)</x:f>
        <x:v>36960</x:v>
      </x:c>
      <x:c r="I76" s="11" t="n">
        <x:f>E76*H76</x:f>
        <x:v>104485920</x:v>
      </x:c>
      <x:c r="J76" t="str">
        <x:v>Lost</x:v>
      </x:c>
      <x:c r="K76" t="str">
        <x:v>Incumbent Supplier</x:v>
      </x:c>
      <x:c r="L76" t="str">
        <x:v>Framework call-off</x:v>
      </x:c>
    </x:row>
    <x:row r="77">
      <x:c r="A77" s="9" t="n">
        <x:v>45313</x:v>
      </x:c>
      <x:c r="B77" t="str">
        <x:v>Apex National GPO</x:v>
      </x:c>
      <x:c r="C77" t="str">
        <x:v>RX-ONC-100</x:v>
      </x:c>
      <x:c r="D77" t="str">
        <x:v>Product Alpha</x:v>
      </x:c>
      <x:c r="E77" s="10" t="n">
        <x:v>2864</x:v>
      </x:c>
      <x:c r="F77" s="11" t="n">
        <x:v>1776</x:v>
      </x:c>
      <x:c r="G77" s="12" t="n">
        <x:v>0.32</x:v>
      </x:c>
      <x:c r="H77" s="11" t="n">
        <x:f>F77*(1-G77)</x:f>
        <x:v>1207.6799999999998</x:v>
      </x:c>
      <x:c r="I77" s="11" t="n">
        <x:f>E77*H77</x:f>
        <x:v>3458795.5199999996</x:v>
      </x:c>
      <x:c r="J77" t="str">
        <x:v>Split</x:v>
      </x:c>
      <x:c r="K77" t="str">
        <x:v>Preferred Local Supplier</x:v>
      </x:c>
      <x:c r="L77" t="str">
        <x:v>12 months</x:v>
      </x:c>
    </x:row>
    <x:row r="78">
      <x:c r="A78" s="9" t="n">
        <x:v>45711</x:v>
      </x:c>
      <x:c r="B78" t="str">
        <x:v>Cityline Payer Alliance</x:v>
      </x:c>
      <x:c r="C78" t="str">
        <x:v>RX-ONC-500</x:v>
      </x:c>
      <x:c r="D78" t="str">
        <x:v>Product Beta</x:v>
      </x:c>
      <x:c r="E78" s="10" t="n">
        <x:v>2901</x:v>
      </x:c>
      <x:c r="F78" s="11" t="n">
        <x:v>6840</x:v>
      </x:c>
      <x:c r="G78" s="12" t="n">
        <x:v>0.295</x:v>
      </x:c>
      <x:c r="H78" s="11" t="n">
        <x:f>F78*(1-G78)</x:f>
        <x:v>4822.200000000001</x:v>
      </x:c>
      <x:c r="I78" s="11" t="n">
        <x:f>E78*H78</x:f>
        <x:v>13989202.200000003</x:v>
      </x:c>
      <x:c r="J78" t="str">
        <x:v>Won</x:v>
      </x:c>
      <x:c r="K78" t="str">
        <x:v>Better Product Evidence</x:v>
      </x:c>
      <x:c r="L78" t="str">
        <x:v>24 months</x:v>
      </x:c>
    </x:row>
    <x:row r="79">
      <x:c r="A79" s="9" t="n">
        <x:v>46105</x:v>
      </x:c>
      <x:c r="B79" t="str">
        <x:v>Orion Hospital Trust</x:v>
      </x:c>
      <x:c r="C79" t="str">
        <x:v>BIO-RA-200</x:v>
      </x:c>
      <x:c r="D79" t="str">
        <x:v>Product Gamma</x:v>
      </x:c>
      <x:c r="E79" s="10" t="n">
        <x:v>2938</x:v>
      </x:c>
      <x:c r="F79" s="11" t="n">
        <x:v>1121</x:v>
      </x:c>
      <x:c r="G79" s="12" t="n">
        <x:v>0.27</x:v>
      </x:c>
      <x:c r="H79" s="11" t="n">
        <x:f>F79*(1-G79)</x:f>
        <x:v>818.3299999999999</x:v>
      </x:c>
      <x:c r="I79" s="11" t="n">
        <x:f>E79*H79</x:f>
        <x:v>2404253.5399999996</x:v>
      </x:c>
      <x:c r="J79" t="str">
        <x:v>Lost</x:v>
      </x:c>
      <x:c r="K79" t="str">
        <x:v>Better Service Offering</x:v>
      </x:c>
      <x:c r="L79" t="str">
        <x:v>36 months</x:v>
      </x:c>
    </x:row>
    <x:row r="80">
      <x:c r="A80" s="9" t="n">
        <x:v>45392</x:v>
      </x:c>
      <x:c r="B80" t="str">
        <x:v>Crescent Public Tender Authority</x:v>
      </x:c>
      <x:c r="C80" t="str">
        <x:v>RX-CARD-50</x:v>
      </x:c>
      <x:c r="D80" t="str">
        <x:v>Product Delta</x:v>
      </x:c>
      <x:c r="E80" s="10" t="n">
        <x:v>2975</x:v>
      </x:c>
      <x:c r="F80" s="11" t="n">
        <x:v>394.8</x:v>
      </x:c>
      <x:c r="G80" s="12" t="n">
        <x:v>0.245</x:v>
      </x:c>
      <x:c r="H80" s="11" t="n">
        <x:f>F80*(1-G80)</x:f>
        <x:v>298.074</x:v>
      </x:c>
      <x:c r="I80" s="11" t="n">
        <x:f>E80*H80</x:f>
        <x:v>886770.15</x:v>
      </x:c>
      <x:c r="J80" t="str">
        <x:v>Split</x:v>
      </x:c>
      <x:c r="K80" t="str">
        <x:v>Supply Assurance</x:v>
      </x:c>
      <x:c r="L80" t="str">
        <x:v>Framework call-off</x:v>
      </x:c>
    </x:row>
    <x:row r="81">
      <x:c r="A81" s="9" t="n">
        <x:v>45788</x:v>
      </x:c>
      <x:c r="B81" t="str">
        <x:v>Union National Payer</x:v>
      </x:c>
      <x:c r="C81" t="str">
        <x:v>RX-RARE-10</x:v>
      </x:c>
      <x:c r="D81" t="str">
        <x:v>Product Epsilon</x:v>
      </x:c>
      <x:c r="E81" s="10" t="n">
        <x:v>3012</x:v>
      </x:c>
      <x:c r="F81" s="11" t="n">
        <x:v>27170</x:v>
      </x:c>
      <x:c r="G81" s="12" t="n">
        <x:v>0.22</x:v>
      </x:c>
      <x:c r="H81" s="11" t="n">
        <x:f>F81*(1-G81)</x:f>
        <x:v>21192.600000000002</x:v>
      </x:c>
      <x:c r="I81" s="11" t="n">
        <x:f>E81*H81</x:f>
        <x:v>63832111.2</x:v>
      </x:c>
      <x:c r="J81" t="str">
        <x:v>Won</x:v>
      </x:c>
      <x:c r="K81" t="str">
        <x:v>Contract Duration</x:v>
      </x:c>
      <x:c r="L81" t="str">
        <x:v>12 months</x:v>
      </x:c>
    </x:row>
    <x:row r="82">
      <x:c r="A82" s="9" t="n">
        <x:v>46185</x:v>
      </x:c>
      <x:c r="B82" t="str">
        <x:v>Atlas Hospital Network</x:v>
      </x:c>
      <x:c r="C82" t="str">
        <x:v>DX-COMP-01</x:v>
      </x:c>
      <x:c r="D82" t="str">
        <x:v>Product Zeta</x:v>
      </x:c>
      <x:c r="E82" s="10" t="n">
        <x:v>3049</x:v>
      </x:c>
      <x:c r="F82" s="11" t="n">
        <x:v>902.5</x:v>
      </x:c>
      <x:c r="G82" s="12" t="n">
        <x:v>0.195</x:v>
      </x:c>
      <x:c r="H82" s="11" t="n">
        <x:f>F82*(1-G82)</x:f>
        <x:v>726.5124999999999</x:v>
      </x:c>
      <x:c r="I82" s="11" t="n">
        <x:f>E82*H82</x:f>
        <x:v>2215136.6125</x:v>
      </x:c>
      <x:c r="J82" t="str">
        <x:v>Lost</x:v>
      </x:c>
      <x:c r="K82" t="str">
        <x:v>Bundled Offer</x:v>
      </x:c>
      <x:c r="L82" t="str">
        <x:v>24 months</x:v>
      </x:c>
    </x:row>
    <x:row r="83">
      <x:c r="A83" s="9" t="n">
        <x:v>45486</x:v>
      </x:c>
      <x:c r="B83" t="str">
        <x:v>Europa Health Purchasing</x:v>
      </x:c>
      <x:c r="C83" t="str">
        <x:v>RX-HOSP-20</x:v>
      </x:c>
      <x:c r="D83" t="str">
        <x:v>Product Eta</x:v>
      </x:c>
      <x:c r="E83" s="10" t="n">
        <x:v>3086</x:v>
      </x:c>
      <x:c r="F83" s="11" t="n">
        <x:v>1240.8</x:v>
      </x:c>
      <x:c r="G83" s="12" t="n">
        <x:v>0.17</x:v>
      </x:c>
      <x:c r="H83" s="11" t="n">
        <x:f>F83*(1-G83)</x:f>
        <x:v>1029.8639999999998</x:v>
      </x:c>
      <x:c r="I83" s="11" t="n">
        <x:f>E83*H83</x:f>
        <x:v>3178160.3039999995</x:v>
      </x:c>
      <x:c r="J83" t="str">
        <x:v>Split</x:v>
      </x:c>
      <x:c r="K83" t="str">
        <x:v>Technical Requirement Match</x:v>
      </x:c>
      <x:c r="L83" t="str">
        <x:v>36 months</x:v>
      </x:c>
    </x:row>
    <x:row r="84">
      <x:c r="A84" s="9" t="n">
        <x:v>45883</x:v>
      </x:c>
      <x:c r="B84" t="str">
        <x:v>BluePeak Payer Coalition</x:v>
      </x:c>
      <x:c r="C84" t="str">
        <x:v>BIO-DERM-80</x:v>
      </x:c>
      <x:c r="D84" t="str">
        <x:v>Product Theta</x:v>
      </x:c>
      <x:c r="E84" s="10" t="n">
        <x:v>3123</x:v>
      </x:c>
      <x:c r="F84" s="11" t="n">
        <x:v>931</x:v>
      </x:c>
      <x:c r="G84" s="12" t="n">
        <x:v>0.145</x:v>
      </x:c>
      <x:c r="H84" s="11" t="n">
        <x:f>F84*(1-G84)</x:f>
        <x:v>796.005</x:v>
      </x:c>
      <x:c r="I84" s="11" t="n">
        <x:f>E84*H84</x:f>
        <x:v>2485923.6149999998</x:v>
      </x:c>
      <x:c r="J84" t="str">
        <x:v>Won</x:v>
      </x:c>
      <x:c r="K84" t="str">
        <x:v>Relationship Advantage</x:v>
      </x:c>
      <x:c r="L84" t="str">
        <x:v>Framework call-off</x:v>
      </x:c>
    </x:row>
    <x:row r="85">
      <x:c r="A85" s="9" t="n">
        <x:v>46280</x:v>
      </x:c>
      <x:c r="B85" t="str">
        <x:v>Apex National GPO</x:v>
      </x:c>
      <x:c r="C85" t="str">
        <x:v>RX-ONC-ORAL</x:v>
      </x:c>
      <x:c r="D85" t="str">
        <x:v>Product Iota</x:v>
      </x:c>
      <x:c r="E85" s="10" t="n">
        <x:v>3160</x:v>
      </x:c>
      <x:c r="F85" s="11" t="n">
        <x:v>9024</x:v>
      </x:c>
      <x:c r="G85" s="12" t="n">
        <x:v>0.12</x:v>
      </x:c>
      <x:c r="H85" s="11" t="n">
        <x:f>F85*(1-G85)</x:f>
        <x:v>7941.12</x:v>
      </x:c>
      <x:c r="I85" s="11" t="n">
        <x:f>E85*H85</x:f>
        <x:v>25093939.2</x:v>
      </x:c>
      <x:c r="J85" t="str">
        <x:v>Lost</x:v>
      </x:c>
      <x:c r="K85" t="str">
        <x:v>Lowest Price</x:v>
      </x:c>
      <x:c r="L85" t="str">
        <x:v>12 months</x:v>
      </x:c>
    </x:row>
    <x:row r="86">
      <x:c r="A86" s="9" t="n">
        <x:v>45581</x:v>
      </x:c>
      <x:c r="B86" t="str">
        <x:v>Cityline Payer Alliance</x:v>
      </x:c>
      <x:c r="C86" t="str">
        <x:v>RX-RARE-INF</x:v>
      </x:c>
      <x:c r="D86" t="str">
        <x:v>Product Kappa</x:v>
      </x:c>
      <x:c r="E86" s="10" t="n">
        <x:v>3197</x:v>
      </x:c>
      <x:c r="F86" s="11" t="n">
        <x:v>33060</x:v>
      </x:c>
      <x:c r="G86" s="12" t="n">
        <x:v>0.32</x:v>
      </x:c>
      <x:c r="H86" s="11" t="n">
        <x:f>F86*(1-G86)</x:f>
        <x:v>22480.8</x:v>
      </x:c>
      <x:c r="I86" s="11" t="n">
        <x:f>E86*H86</x:f>
        <x:v>71871117.6</x:v>
      </x:c>
      <x:c r="J86" t="str">
        <x:v>Split</x:v>
      </x:c>
      <x:c r="K86" t="str">
        <x:v>Incumbent Supplier</x:v>
      </x:c>
      <x:c r="L86" t="str">
        <x:v>24 months</x:v>
      </x:c>
    </x:row>
    <x:row r="87">
      <x:c r="A87" s="9" t="n">
        <x:v>45978</x:v>
      </x:c>
      <x:c r="B87" t="str">
        <x:v>Orion Hospital Trust</x:v>
      </x:c>
      <x:c r="C87" t="str">
        <x:v>DX-GENE-02</x:v>
      </x:c>
      <x:c r="D87" t="str">
        <x:v>Product Lambda</x:v>
      </x:c>
      <x:c r="E87" s="10" t="n">
        <x:v>3234</x:v>
      </x:c>
      <x:c r="F87" s="11" t="n">
        <x:v>1216</x:v>
      </x:c>
      <x:c r="G87" s="12" t="n">
        <x:v>0.295</x:v>
      </x:c>
      <x:c r="H87" s="11" t="n">
        <x:f>F87*(1-G87)</x:f>
        <x:v>857.2800000000001</x:v>
      </x:c>
      <x:c r="I87" s="11" t="n">
        <x:f>E87*H87</x:f>
        <x:v>2772443.5200000005</x:v>
      </x:c>
      <x:c r="J87" t="str">
        <x:v>Won</x:v>
      </x:c>
      <x:c r="K87" t="str">
        <x:v>Preferred Local Supplier</x:v>
      </x:c>
      <x:c r="L87" t="str">
        <x:v>36 months</x:v>
      </x:c>
    </x:row>
    <x:row r="88">
      <x:c r="A88" s="9" t="n">
        <x:v>46374</x:v>
      </x:c>
      <x:c r="B88" t="str">
        <x:v>Crescent Public Tender Authority</x:v>
      </x:c>
      <x:c r="C88" t="str">
        <x:v>SVC-PAT-01</x:v>
      </x:c>
      <x:c r="D88" t="str">
        <x:v>Product Mu</x:v>
      </x:c>
      <x:c r="E88" s="10" t="n">
        <x:v>3271</x:v>
      </x:c>
      <x:c r="F88" s="11" t="n">
        <x:v>42000</x:v>
      </x:c>
      <x:c r="G88" s="12" t="n">
        <x:v>0.27</x:v>
      </x:c>
      <x:c r="H88" s="11" t="n">
        <x:f>F88*(1-G88)</x:f>
        <x:v>30660</x:v>
      </x:c>
      <x:c r="I88" s="11" t="n">
        <x:f>E88*H88</x:f>
        <x:v>100288860</x:v>
      </x:c>
      <x:c r="J88" t="str">
        <x:v>Lost</x:v>
      </x:c>
      <x:c r="K88" t="str">
        <x:v>Better Product Evidence</x:v>
      </x:c>
      <x:c r="L88" t="str">
        <x:v>Framework call-off</x:v>
      </x:c>
    </x:row>
    <x:row r="89">
      <x:c r="A89" s="9" t="n">
        <x:v>45310</x:v>
      </x:c>
      <x:c r="B89" t="str">
        <x:v>Union National Payer</x:v>
      </x:c>
      <x:c r="C89" t="str">
        <x:v>RX-ONC-100</x:v>
      </x:c>
      <x:c r="D89" t="str">
        <x:v>Product Alpha</x:v>
      </x:c>
      <x:c r="E89" s="10" t="n">
        <x:v>3308</x:v>
      </x:c>
      <x:c r="F89" s="11" t="n">
        <x:v>1776</x:v>
      </x:c>
      <x:c r="G89" s="12" t="n">
        <x:v>0.245</x:v>
      </x:c>
      <x:c r="H89" s="11" t="n">
        <x:f>F89*(1-G89)</x:f>
        <x:v>1340.88</x:v>
      </x:c>
      <x:c r="I89" s="11" t="n">
        <x:f>E89*H89</x:f>
        <x:v>4435631.04</x:v>
      </x:c>
      <x:c r="J89" t="str">
        <x:v>Split</x:v>
      </x:c>
      <x:c r="K89" t="str">
        <x:v>Better Service Offering</x:v>
      </x:c>
      <x:c r="L89" t="str">
        <x:v>12 months</x:v>
      </x:c>
    </x:row>
    <x:row r="90">
      <x:c r="A90" s="9" t="n">
        <x:v>45708</x:v>
      </x:c>
      <x:c r="B90" t="str">
        <x:v>Atlas Hospital Network</x:v>
      </x:c>
      <x:c r="C90" t="str">
        <x:v>RX-ONC-500</x:v>
      </x:c>
      <x:c r="D90" t="str">
        <x:v>Product Beta</x:v>
      </x:c>
      <x:c r="E90" s="10" t="n">
        <x:v>3345</x:v>
      </x:c>
      <x:c r="F90" s="11" t="n">
        <x:v>6840</x:v>
      </x:c>
      <x:c r="G90" s="12" t="n">
        <x:v>0.22</x:v>
      </x:c>
      <x:c r="H90" s="11" t="n">
        <x:f>F90*(1-G90)</x:f>
        <x:v>5335.2</x:v>
      </x:c>
      <x:c r="I90" s="11" t="n">
        <x:f>E90*H90</x:f>
        <x:v>17846244</x:v>
      </x:c>
      <x:c r="J90" t="str">
        <x:v>Won</x:v>
      </x:c>
      <x:c r="K90" t="str">
        <x:v>Supply Assurance</x:v>
      </x:c>
      <x:c r="L90" t="str">
        <x:v>24 months</x:v>
      </x:c>
    </x:row>
    <x:row r="91">
      <x:c r="A91" s="9" t="n">
        <x:v>46102</x:v>
      </x:c>
      <x:c r="B91" t="str">
        <x:v>Europa Health Purchasing</x:v>
      </x:c>
      <x:c r="C91" t="str">
        <x:v>BIO-RA-200</x:v>
      </x:c>
      <x:c r="D91" t="str">
        <x:v>Product Gamma</x:v>
      </x:c>
      <x:c r="E91" s="10" t="n">
        <x:v>3382</x:v>
      </x:c>
      <x:c r="F91" s="11" t="n">
        <x:v>1121</x:v>
      </x:c>
      <x:c r="G91" s="12" t="n">
        <x:v>0.195</x:v>
      </x:c>
      <x:c r="H91" s="11" t="n">
        <x:f>F91*(1-G91)</x:f>
        <x:v>902.405</x:v>
      </x:c>
      <x:c r="I91" s="11" t="n">
        <x:f>E91*H91</x:f>
        <x:v>3051933.71</x:v>
      </x:c>
      <x:c r="J91" t="str">
        <x:v>Lost</x:v>
      </x:c>
      <x:c r="K91" t="str">
        <x:v>Contract Duration</x:v>
      </x:c>
      <x:c r="L91" t="str">
        <x:v>36 months</x:v>
      </x:c>
    </x:row>
    <x:row r="92">
      <x:c r="A92" s="9" t="n">
        <x:v>45404</x:v>
      </x:c>
      <x:c r="B92" t="str">
        <x:v>BluePeak Payer Coalition</x:v>
      </x:c>
      <x:c r="C92" t="str">
        <x:v>RX-CARD-50</x:v>
      </x:c>
      <x:c r="D92" t="str">
        <x:v>Product Delta</x:v>
      </x:c>
      <x:c r="E92" s="10" t="n">
        <x:v>3419</x:v>
      </x:c>
      <x:c r="F92" s="11" t="n">
        <x:v>394.8</x:v>
      </x:c>
      <x:c r="G92" s="12" t="n">
        <x:v>0.169</x:v>
      </x:c>
      <x:c r="H92" s="11" t="n">
        <x:f>F92*(1-G92)</x:f>
        <x:v>328.0788</x:v>
      </x:c>
      <x:c r="I92" s="11" t="n">
        <x:f>E92*H92</x:f>
        <x:v>1121701.4172</x:v>
      </x:c>
      <x:c r="J92" t="str">
        <x:v>Split</x:v>
      </x:c>
      <x:c r="K92" t="str">
        <x:v>Bundled Offer</x:v>
      </x:c>
      <x:c r="L92" t="str">
        <x:v>Framework call-off</x:v>
      </x:c>
    </x:row>
    <x:row r="93">
      <x:c r="A93" s="9" t="n">
        <x:v>45800</x:v>
      </x:c>
      <x:c r="B93" t="str">
        <x:v>Apex National GPO</x:v>
      </x:c>
      <x:c r="C93" t="str">
        <x:v>RX-RARE-10</x:v>
      </x:c>
      <x:c r="D93" t="str">
        <x:v>Product Epsilon</x:v>
      </x:c>
      <x:c r="E93" s="10" t="n">
        <x:v>3456</x:v>
      </x:c>
      <x:c r="F93" s="11" t="n">
        <x:v>27170</x:v>
      </x:c>
      <x:c r="G93" s="12" t="n">
        <x:v>0.145</x:v>
      </x:c>
      <x:c r="H93" s="11" t="n">
        <x:f>F93*(1-G93)</x:f>
        <x:v>23230.35</x:v>
      </x:c>
      <x:c r="I93" s="11" t="n">
        <x:f>E93*H93</x:f>
        <x:v>80284089.6</x:v>
      </x:c>
      <x:c r="J93" t="str">
        <x:v>Won</x:v>
      </x:c>
      <x:c r="K93" t="str">
        <x:v>Technical Requirement Match</x:v>
      </x:c>
      <x:c r="L93" t="str">
        <x:v>12 months</x:v>
      </x:c>
    </x:row>
    <x:row r="94">
      <x:c r="A94" s="9" t="n">
        <x:v>46197</x:v>
      </x:c>
      <x:c r="B94" t="str">
        <x:v>Cityline Payer Alliance</x:v>
      </x:c>
      <x:c r="C94" t="str">
        <x:v>DX-COMP-01</x:v>
      </x:c>
      <x:c r="D94" t="str">
        <x:v>Product Zeta</x:v>
      </x:c>
      <x:c r="E94" s="10" t="n">
        <x:v>3493</x:v>
      </x:c>
      <x:c r="F94" s="11" t="n">
        <x:v>902.5</x:v>
      </x:c>
      <x:c r="G94" s="12" t="n">
        <x:v>0.12</x:v>
      </x:c>
      <x:c r="H94" s="11" t="n">
        <x:f>F94*(1-G94)</x:f>
        <x:v>794.2</x:v>
      </x:c>
      <x:c r="I94" s="11" t="n">
        <x:f>E94*H94</x:f>
        <x:v>2774140.6</x:v>
      </x:c>
      <x:c r="J94" t="str">
        <x:v>Lost</x:v>
      </x:c>
      <x:c r="K94" t="str">
        <x:v>Relationship Advantage</x:v>
      </x:c>
      <x:c r="L94" t="str">
        <x:v>24 months</x:v>
      </x:c>
    </x:row>
    <x:row r="95">
      <x:c r="A95" s="9" t="n">
        <x:v>45483</x:v>
      </x:c>
      <x:c r="B95" t="str">
        <x:v>Orion Hospital Trust</x:v>
      </x:c>
      <x:c r="C95" t="str">
        <x:v>RX-HOSP-20</x:v>
      </x:c>
      <x:c r="D95" t="str">
        <x:v>Product Eta</x:v>
      </x:c>
      <x:c r="E95" s="10" t="n">
        <x:v>3530</x:v>
      </x:c>
      <x:c r="F95" s="11" t="n">
        <x:v>1240.8</x:v>
      </x:c>
      <x:c r="G95" s="12" t="n">
        <x:v>0.32</x:v>
      </x:c>
      <x:c r="H95" s="11" t="n">
        <x:f>F95*(1-G95)</x:f>
        <x:v>843.7439999999999</x:v>
      </x:c>
      <x:c r="I95" s="11" t="n">
        <x:f>E95*H95</x:f>
        <x:v>2978416.32</x:v>
      </x:c>
      <x:c r="J95" t="str">
        <x:v>Split</x:v>
      </x:c>
      <x:c r="K95" t="str">
        <x:v>Lowest Price</x:v>
      </x:c>
      <x:c r="L95" t="str">
        <x:v>36 months</x:v>
      </x:c>
    </x:row>
    <x:row r="96">
      <x:c r="A96" s="9" t="n">
        <x:v>45880</x:v>
      </x:c>
      <x:c r="B96" t="str">
        <x:v>Crescent Public Tender Authority</x:v>
      </x:c>
      <x:c r="C96" t="str">
        <x:v>BIO-DERM-80</x:v>
      </x:c>
      <x:c r="D96" t="str">
        <x:v>Product Theta</x:v>
      </x:c>
      <x:c r="E96" s="10" t="n">
        <x:v>3567</x:v>
      </x:c>
      <x:c r="F96" s="11" t="n">
        <x:v>931</x:v>
      </x:c>
      <x:c r="G96" s="12" t="n">
        <x:v>0.295</x:v>
      </x:c>
      <x:c r="H96" s="11" t="n">
        <x:f>F96*(1-G96)</x:f>
        <x:v>656.355</x:v>
      </x:c>
      <x:c r="I96" s="11" t="n">
        <x:f>E96*H96</x:f>
        <x:v>2341218.285</x:v>
      </x:c>
      <x:c r="J96" t="str">
        <x:v>Won</x:v>
      </x:c>
      <x:c r="K96" t="str">
        <x:v>Incumbent Supplier</x:v>
      </x:c>
      <x:c r="L96" t="str">
        <x:v>Framework call-off</x:v>
      </x:c>
    </x:row>
    <x:row r="97">
      <x:c r="A97" s="9" t="n">
        <x:v>46277</x:v>
      </x:c>
      <x:c r="B97" t="str">
        <x:v>Union National Payer</x:v>
      </x:c>
      <x:c r="C97" t="str">
        <x:v>RX-ONC-ORAL</x:v>
      </x:c>
      <x:c r="D97" t="str">
        <x:v>Product Iota</x:v>
      </x:c>
      <x:c r="E97" s="10" t="n">
        <x:v>3604</x:v>
      </x:c>
      <x:c r="F97" s="11" t="n">
        <x:v>9024</x:v>
      </x:c>
      <x:c r="G97" s="12" t="n">
        <x:v>0.27</x:v>
      </x:c>
      <x:c r="H97" s="11" t="n">
        <x:f>F97*(1-G97)</x:f>
        <x:v>6587.5199999999995</x:v>
      </x:c>
      <x:c r="I97" s="11" t="n">
        <x:f>E97*H97</x:f>
        <x:v>23741422.08</x:v>
      </x:c>
      <x:c r="J97" t="str">
        <x:v>Lost</x:v>
      </x:c>
      <x:c r="K97" t="str">
        <x:v>Preferred Local Supplier</x:v>
      </x:c>
      <x:c r="L97" t="str">
        <x:v>12 months</x:v>
      </x:c>
    </x:row>
    <x:row r="98">
      <x:c r="A98" s="9" t="n">
        <x:v>45578</x:v>
      </x:c>
      <x:c r="B98" t="str">
        <x:v>Atlas Hospital Network</x:v>
      </x:c>
      <x:c r="C98" t="str">
        <x:v>RX-RARE-INF</x:v>
      </x:c>
      <x:c r="D98" t="str">
        <x:v>Product Kappa</x:v>
      </x:c>
      <x:c r="E98" s="10" t="n">
        <x:v>3641</x:v>
      </x:c>
      <x:c r="F98" s="11" t="n">
        <x:v>33060</x:v>
      </x:c>
      <x:c r="G98" s="12" t="n">
        <x:v>0.245</x:v>
      </x:c>
      <x:c r="H98" s="11" t="n">
        <x:f>F98*(1-G98)</x:f>
        <x:v>24960.3</x:v>
      </x:c>
      <x:c r="I98" s="11" t="n">
        <x:f>E98*H98</x:f>
        <x:v>90880452.3</x:v>
      </x:c>
      <x:c r="J98" t="str">
        <x:v>Split</x:v>
      </x:c>
      <x:c r="K98" t="str">
        <x:v>Better Product Evidence</x:v>
      </x:c>
      <x:c r="L98" t="str">
        <x:v>24 months</x:v>
      </x:c>
    </x:row>
    <x:row r="99">
      <x:c r="A99" s="9" t="n">
        <x:v>45975</x:v>
      </x:c>
      <x:c r="B99" t="str">
        <x:v>Europa Health Purchasing</x:v>
      </x:c>
      <x:c r="C99" t="str">
        <x:v>DX-GENE-02</x:v>
      </x:c>
      <x:c r="D99" t="str">
        <x:v>Product Lambda</x:v>
      </x:c>
      <x:c r="E99" s="10" t="n">
        <x:v>3678</x:v>
      </x:c>
      <x:c r="F99" s="11" t="n">
        <x:v>1216</x:v>
      </x:c>
      <x:c r="G99" s="12" t="n">
        <x:v>0.22</x:v>
      </x:c>
      <x:c r="H99" s="11" t="n">
        <x:f>F99*(1-G99)</x:f>
        <x:v>948.48</x:v>
      </x:c>
      <x:c r="I99" s="11" t="n">
        <x:f>E99*H99</x:f>
        <x:v>3488509.44</x:v>
      </x:c>
      <x:c r="J99" t="str">
        <x:v>Won</x:v>
      </x:c>
      <x:c r="K99" t="str">
        <x:v>Better Service Offering</x:v>
      </x:c>
      <x:c r="L99" t="str">
        <x:v>36 months</x:v>
      </x:c>
    </x:row>
    <x:row r="100">
      <x:c r="A100" s="9" t="n">
        <x:v>46371</x:v>
      </x:c>
      <x:c r="B100" t="str">
        <x:v>BluePeak Payer Coalition</x:v>
      </x:c>
      <x:c r="C100" t="str">
        <x:v>SVC-PAT-01</x:v>
      </x:c>
      <x:c r="D100" t="str">
        <x:v>Product Mu</x:v>
      </x:c>
      <x:c r="E100" s="10" t="n">
        <x:v>3715</x:v>
      </x:c>
      <x:c r="F100" s="11" t="n">
        <x:v>42000</x:v>
      </x:c>
      <x:c r="G100" s="12" t="n">
        <x:v>0.195</x:v>
      </x:c>
      <x:c r="H100" s="11" t="n">
        <x:f>F100*(1-G100)</x:f>
        <x:v>33810</x:v>
      </x:c>
      <x:c r="I100" s="11" t="n">
        <x:f>E100*H100</x:f>
        <x:v>125604150</x:v>
      </x:c>
      <x:c r="J100" t="str">
        <x:v>Lost</x:v>
      </x:c>
      <x:c r="K100" t="str">
        <x:v>Supply Assurance</x:v>
      </x:c>
      <x:c r="L100" t="str">
        <x:v>Framework call-off</x:v>
      </x:c>
    </x:row>
    <x:row r="101">
      <x:c r="A101" s="9" t="n">
        <x:v>45307</x:v>
      </x:c>
      <x:c r="B101" t="str">
        <x:v>Apex National GPO</x:v>
      </x:c>
      <x:c r="C101" t="str">
        <x:v>RX-ONC-100</x:v>
      </x:c>
      <x:c r="D101" t="str">
        <x:v>Product Alpha</x:v>
      </x:c>
      <x:c r="E101" s="10" t="n">
        <x:v>3752</x:v>
      </x:c>
      <x:c r="F101" s="11" t="n">
        <x:v>1776</x:v>
      </x:c>
      <x:c r="G101" s="12" t="n">
        <x:v>0.17</x:v>
      </x:c>
      <x:c r="H101" s="11" t="n">
        <x:f>F101*(1-G101)</x:f>
        <x:v>1474.08</x:v>
      </x:c>
      <x:c r="I101" s="11" t="n">
        <x:f>E101*H101</x:f>
        <x:v>5530748.16</x:v>
      </x:c>
      <x:c r="J101" t="str">
        <x:v>Split</x:v>
      </x:c>
      <x:c r="K101" t="str">
        <x:v>Contract Duration</x:v>
      </x:c>
      <x:c r="L101" t="str">
        <x:v>12 months</x:v>
      </x:c>
    </x:row>
    <x:row r="102">
      <x:c r="A102" s="9" t="n">
        <x:v>45705</x:v>
      </x:c>
      <x:c r="B102" t="str">
        <x:v>Cityline Payer Alliance</x:v>
      </x:c>
      <x:c r="C102" t="str">
        <x:v>RX-ONC-500</x:v>
      </x:c>
      <x:c r="D102" t="str">
        <x:v>Product Beta</x:v>
      </x:c>
      <x:c r="E102" s="10" t="n">
        <x:v>3789</x:v>
      </x:c>
      <x:c r="F102" s="11" t="n">
        <x:v>6840</x:v>
      </x:c>
      <x:c r="G102" s="12" t="n">
        <x:v>0.145</x:v>
      </x:c>
      <x:c r="H102" s="11" t="n">
        <x:f>F102*(1-G102)</x:f>
        <x:v>5848.2</x:v>
      </x:c>
      <x:c r="I102" s="11" t="n">
        <x:f>E102*H102</x:f>
        <x:v>22158829.8</x:v>
      </x:c>
      <x:c r="J102" t="str">
        <x:v>Won</x:v>
      </x:c>
      <x:c r="K102" t="str">
        <x:v>Bundled Offer</x:v>
      </x:c>
      <x:c r="L102" t="str">
        <x:v>24 months</x:v>
      </x:c>
    </x:row>
    <x:row r="103">
      <x:c r="A103" s="9" t="n">
        <x:v>46099</x:v>
      </x:c>
      <x:c r="B103" t="str">
        <x:v>Orion Hospital Trust</x:v>
      </x:c>
      <x:c r="C103" t="str">
        <x:v>BIO-RA-200</x:v>
      </x:c>
      <x:c r="D103" t="str">
        <x:v>Product Gamma</x:v>
      </x:c>
      <x:c r="E103" s="10" t="n">
        <x:v>3826</x:v>
      </x:c>
      <x:c r="F103" s="11" t="n">
        <x:v>1121</x:v>
      </x:c>
      <x:c r="G103" s="12" t="n">
        <x:v>0.12</x:v>
      </x:c>
      <x:c r="H103" s="11" t="n">
        <x:f>F103*(1-G103)</x:f>
        <x:v>986.48</x:v>
      </x:c>
      <x:c r="I103" s="11" t="n">
        <x:f>E103*H103</x:f>
        <x:v>3774272.48</x:v>
      </x:c>
      <x:c r="J103" t="str">
        <x:v>Lost</x:v>
      </x:c>
      <x:c r="K103" t="str">
        <x:v>Technical Requirement Match</x:v>
      </x:c>
      <x:c r="L103" t="str">
        <x:v>36 months</x:v>
      </x:c>
    </x:row>
    <x:row r="104">
      <x:c r="A104" s="9" t="n">
        <x:v>45401</x:v>
      </x:c>
      <x:c r="B104" t="str">
        <x:v>Crescent Public Tender Authority</x:v>
      </x:c>
      <x:c r="C104" t="str">
        <x:v>RX-CARD-50</x:v>
      </x:c>
      <x:c r="D104" t="str">
        <x:v>Product Delta</x:v>
      </x:c>
      <x:c r="E104" s="10" t="n">
        <x:v>3863</x:v>
      </x:c>
      <x:c r="F104" s="11" t="n">
        <x:v>394.8</x:v>
      </x:c>
      <x:c r="G104" s="12" t="n">
        <x:v>0.319</x:v>
      </x:c>
      <x:c r="H104" s="11" t="n">
        <x:f>F104*(1-G104)</x:f>
        <x:v>268.85880000000003</x:v>
      </x:c>
      <x:c r="I104" s="11" t="n">
        <x:f>E104*H104</x:f>
        <x:v>1038601.5444000001</x:v>
      </x:c>
      <x:c r="J104" t="str">
        <x:v>Split</x:v>
      </x:c>
      <x:c r="K104" t="str">
        <x:v>Relationship Advantage</x:v>
      </x:c>
      <x:c r="L104" t="str">
        <x:v>Framework call-off</x:v>
      </x:c>
    </x:row>
    <x:row r="105">
      <x:c r="A105" s="9" t="n">
        <x:v>45797</x:v>
      </x:c>
      <x:c r="B105" t="str">
        <x:v>Union National Payer</x:v>
      </x:c>
      <x:c r="C105" t="str">
        <x:v>RX-RARE-10</x:v>
      </x:c>
      <x:c r="D105" t="str">
        <x:v>Product Epsilon</x:v>
      </x:c>
      <x:c r="E105" s="10" t="n">
        <x:v>3900</x:v>
      </x:c>
      <x:c r="F105" s="11" t="n">
        <x:v>27170</x:v>
      </x:c>
      <x:c r="G105" s="12" t="n">
        <x:v>0.295</x:v>
      </x:c>
      <x:c r="H105" s="11" t="n">
        <x:f>F105*(1-G105)</x:f>
        <x:v>19154.850000000002</x:v>
      </x:c>
      <x:c r="I105" s="11" t="n">
        <x:f>E105*H105</x:f>
        <x:v>74703915.00000001</x:v>
      </x:c>
      <x:c r="J105" t="str">
        <x:v>Won</x:v>
      </x:c>
      <x:c r="K105" t="str">
        <x:v>Lowest Price</x:v>
      </x:c>
      <x:c r="L105" t="str">
        <x:v>12 months</x:v>
      </x:c>
    </x:row>
    <x:row r="106">
      <x:c r="A106" s="9" t="n">
        <x:v>46194</x:v>
      </x:c>
      <x:c r="B106" t="str">
        <x:v>Atlas Hospital Network</x:v>
      </x:c>
      <x:c r="C106" t="str">
        <x:v>DX-COMP-01</x:v>
      </x:c>
      <x:c r="D106" t="str">
        <x:v>Product Zeta</x:v>
      </x:c>
      <x:c r="E106" s="10" t="n">
        <x:v>3937</x:v>
      </x:c>
      <x:c r="F106" s="11" t="n">
        <x:v>902.5</x:v>
      </x:c>
      <x:c r="G106" s="12" t="n">
        <x:v>0.269</x:v>
      </x:c>
      <x:c r="H106" s="11" t="n">
        <x:f>F106*(1-G106)</x:f>
        <x:v>659.7275</x:v>
      </x:c>
      <x:c r="I106" s="11" t="n">
        <x:f>E106*H106</x:f>
        <x:v>2597347.1675</x:v>
      </x:c>
      <x:c r="J106" t="str">
        <x:v>Lost</x:v>
      </x:c>
      <x:c r="K106" t="str">
        <x:v>Incumbent Supplier</x:v>
      </x:c>
      <x:c r="L106" t="str">
        <x:v>24 months</x:v>
      </x:c>
    </x:row>
    <x:row r="107">
      <x:c r="A107" s="9" t="n">
        <x:v>45495</x:v>
      </x:c>
      <x:c r="B107" t="str">
        <x:v>Europa Health Purchasing</x:v>
      </x:c>
      <x:c r="C107" t="str">
        <x:v>RX-HOSP-20</x:v>
      </x:c>
      <x:c r="D107" t="str">
        <x:v>Product Eta</x:v>
      </x:c>
      <x:c r="E107" s="10" t="n">
        <x:v>3974</x:v>
      </x:c>
      <x:c r="F107" s="11" t="n">
        <x:v>1240.8</x:v>
      </x:c>
      <x:c r="G107" s="12" t="n">
        <x:v>0.245</x:v>
      </x:c>
      <x:c r="H107" s="11" t="n">
        <x:f>F107*(1-G107)</x:f>
        <x:v>936.804</x:v>
      </x:c>
      <x:c r="I107" s="11" t="n">
        <x:f>E107*H107</x:f>
        <x:v>3722859.096</x:v>
      </x:c>
      <x:c r="J107" t="str">
        <x:v>Split</x:v>
      </x:c>
      <x:c r="K107" t="str">
        <x:v>Preferred Local Supplier</x:v>
      </x:c>
      <x:c r="L107" t="str">
        <x:v>36 months</x:v>
      </x:c>
    </x:row>
    <x:row r="108">
      <x:c r="A108" s="9" t="n">
        <x:v>45892</x:v>
      </x:c>
      <x:c r="B108" t="str">
        <x:v>BluePeak Payer Coalition</x:v>
      </x:c>
      <x:c r="C108" t="str">
        <x:v>BIO-DERM-80</x:v>
      </x:c>
      <x:c r="D108" t="str">
        <x:v>Product Theta</x:v>
      </x:c>
      <x:c r="E108" s="10" t="n">
        <x:v>4011</x:v>
      </x:c>
      <x:c r="F108" s="11" t="n">
        <x:v>931</x:v>
      </x:c>
      <x:c r="G108" s="12" t="n">
        <x:v>0.22</x:v>
      </x:c>
      <x:c r="H108" s="11" t="n">
        <x:f>F108*(1-G108)</x:f>
        <x:v>726.1800000000001</x:v>
      </x:c>
      <x:c r="I108" s="11" t="n">
        <x:f>E108*H108</x:f>
        <x:v>2912707.9800000004</x:v>
      </x:c>
      <x:c r="J108" t="str">
        <x:v>Won</x:v>
      </x:c>
      <x:c r="K108" t="str">
        <x:v>Better Product Evidence</x:v>
      </x:c>
      <x:c r="L108" t="str">
        <x:v>Framework call-off</x:v>
      </x:c>
    </x:row>
    <x:row r="109">
      <x:c r="A109" s="9" t="n">
        <x:v>46289</x:v>
      </x:c>
      <x:c r="B109" t="str">
        <x:v>Apex National GPO</x:v>
      </x:c>
      <x:c r="C109" t="str">
        <x:v>RX-ONC-ORAL</x:v>
      </x:c>
      <x:c r="D109" t="str">
        <x:v>Product Iota</x:v>
      </x:c>
      <x:c r="E109" s="10" t="n">
        <x:v>4048</x:v>
      </x:c>
      <x:c r="F109" s="11" t="n">
        <x:v>9024</x:v>
      </x:c>
      <x:c r="G109" s="12" t="n">
        <x:v>0.195</x:v>
      </x:c>
      <x:c r="H109" s="11" t="n">
        <x:f>F109*(1-G109)</x:f>
        <x:v>7264.32</x:v>
      </x:c>
      <x:c r="I109" s="11" t="n">
        <x:f>E109*H109</x:f>
        <x:v>29405967.36</x:v>
      </x:c>
      <x:c r="J109" t="str">
        <x:v>Lost</x:v>
      </x:c>
      <x:c r="K109" t="str">
        <x:v>Better Service Offering</x:v>
      </x:c>
      <x:c r="L109" t="str">
        <x:v>12 months</x:v>
      </x:c>
    </x:row>
    <x:row r="110">
      <x:c r="A110" s="9" t="n">
        <x:v>45575</x:v>
      </x:c>
      <x:c r="B110" t="str">
        <x:v>Cityline Payer Alliance</x:v>
      </x:c>
      <x:c r="C110" t="str">
        <x:v>RX-RARE-INF</x:v>
      </x:c>
      <x:c r="D110" t="str">
        <x:v>Product Kappa</x:v>
      </x:c>
      <x:c r="E110" s="10" t="n">
        <x:v>4085</x:v>
      </x:c>
      <x:c r="F110" s="11" t="n">
        <x:v>33060</x:v>
      </x:c>
      <x:c r="G110" s="12" t="n">
        <x:v>0.17</x:v>
      </x:c>
      <x:c r="H110" s="11" t="n">
        <x:f>F110*(1-G110)</x:f>
        <x:v>27439.8</x:v>
      </x:c>
      <x:c r="I110" s="11" t="n">
        <x:f>E110*H110</x:f>
        <x:v>112091583</x:v>
      </x:c>
      <x:c r="J110" t="str">
        <x:v>Split</x:v>
      </x:c>
      <x:c r="K110" t="str">
        <x:v>Supply Assurance</x:v>
      </x:c>
      <x:c r="L110" t="str">
        <x:v>24 months</x:v>
      </x:c>
    </x:row>
    <x:row r="111">
      <x:c r="A111" s="9" t="n">
        <x:v>45972</x:v>
      </x:c>
      <x:c r="B111" t="str">
        <x:v>Orion Hospital Trust</x:v>
      </x:c>
      <x:c r="C111" t="str">
        <x:v>DX-GENE-02</x:v>
      </x:c>
      <x:c r="D111" t="str">
        <x:v>Product Lambda</x:v>
      </x:c>
      <x:c r="E111" s="10" t="n">
        <x:v>4122</x:v>
      </x:c>
      <x:c r="F111" s="11" t="n">
        <x:v>1216</x:v>
      </x:c>
      <x:c r="G111" s="12" t="n">
        <x:v>0.145</x:v>
      </x:c>
      <x:c r="H111" s="11" t="n">
        <x:f>F111*(1-G111)</x:f>
        <x:v>1039.68</x:v>
      </x:c>
      <x:c r="I111" s="11" t="n">
        <x:f>E111*H111</x:f>
        <x:v>4285560.96</x:v>
      </x:c>
      <x:c r="J111" t="str">
        <x:v>Won</x:v>
      </x:c>
      <x:c r="K111" t="str">
        <x:v>Contract Duration</x:v>
      </x:c>
      <x:c r="L111" t="str">
        <x:v>36 months</x:v>
      </x:c>
    </x:row>
    <x:row r="112">
      <x:c r="A112" s="9" t="n">
        <x:v>46368</x:v>
      </x:c>
      <x:c r="B112" t="str">
        <x:v>Crescent Public Tender Authority</x:v>
      </x:c>
      <x:c r="C112" t="str">
        <x:v>SVC-PAT-01</x:v>
      </x:c>
      <x:c r="D112" t="str">
        <x:v>Product Mu</x:v>
      </x:c>
      <x:c r="E112" s="10" t="n">
        <x:v>4159</x:v>
      </x:c>
      <x:c r="F112" s="11" t="n">
        <x:v>42000</x:v>
      </x:c>
      <x:c r="G112" s="12" t="n">
        <x:v>0.12</x:v>
      </x:c>
      <x:c r="H112" s="11" t="n">
        <x:f>F112*(1-G112)</x:f>
        <x:v>36960</x:v>
      </x:c>
      <x:c r="I112" s="11" t="n">
        <x:f>E112*H112</x:f>
        <x:v>153716640</x:v>
      </x:c>
      <x:c r="J112" t="str">
        <x:v>Lost</x:v>
      </x:c>
      <x:c r="K112" t="str">
        <x:v>Bundled Offer</x:v>
      </x:c>
      <x:c r="L112" t="str">
        <x:v>Framework call-off</x:v>
      </x:c>
    </x:row>
    <x:row r="113">
      <x:c r="A113" s="9" t="n">
        <x:v>45304</x:v>
      </x:c>
      <x:c r="B113" t="str">
        <x:v>Union National Payer</x:v>
      </x:c>
      <x:c r="C113" t="str">
        <x:v>RX-ONC-100</x:v>
      </x:c>
      <x:c r="D113" t="str">
        <x:v>Product Alpha</x:v>
      </x:c>
      <x:c r="E113" s="10" t="n">
        <x:v>4196</x:v>
      </x:c>
      <x:c r="F113" s="11" t="n">
        <x:v>1776</x:v>
      </x:c>
      <x:c r="G113" s="12" t="n">
        <x:v>0.32</x:v>
      </x:c>
      <x:c r="H113" s="11" t="n">
        <x:f>F113*(1-G113)</x:f>
        <x:v>1207.6799999999998</x:v>
      </x:c>
      <x:c r="I113" s="11" t="n">
        <x:f>E113*H113</x:f>
        <x:v>5067425.279999999</x:v>
      </x:c>
      <x:c r="J113" t="str">
        <x:v>Split</x:v>
      </x:c>
      <x:c r="K113" t="str">
        <x:v>Technical Requirement Match</x:v>
      </x:c>
      <x:c r="L113" t="str">
        <x:v>12 months</x:v>
      </x:c>
    </x:row>
    <x:row r="114">
      <x:c r="A114" s="9" t="n">
        <x:v>45702</x:v>
      </x:c>
      <x:c r="B114" t="str">
        <x:v>Atlas Hospital Network</x:v>
      </x:c>
      <x:c r="C114" t="str">
        <x:v>RX-ONC-500</x:v>
      </x:c>
      <x:c r="D114" t="str">
        <x:v>Product Beta</x:v>
      </x:c>
      <x:c r="E114" s="10" t="n">
        <x:v>4233</x:v>
      </x:c>
      <x:c r="F114" s="11" t="n">
        <x:v>6840</x:v>
      </x:c>
      <x:c r="G114" s="12" t="n">
        <x:v>0.295</x:v>
      </x:c>
      <x:c r="H114" s="11" t="n">
        <x:f>F114*(1-G114)</x:f>
        <x:v>4822.200000000001</x:v>
      </x:c>
      <x:c r="I114" s="11" t="n">
        <x:f>E114*H114</x:f>
        <x:v>20412372.6</x:v>
      </x:c>
      <x:c r="J114" t="str">
        <x:v>Won</x:v>
      </x:c>
      <x:c r="K114" t="str">
        <x:v>Relationship Advantage</x:v>
      </x:c>
      <x:c r="L114" t="str">
        <x:v>24 months</x:v>
      </x:c>
    </x:row>
    <x:row r="115">
      <x:c r="A115" s="9" t="n">
        <x:v>46096</x:v>
      </x:c>
      <x:c r="B115" t="str">
        <x:v>Europa Health Purchasing</x:v>
      </x:c>
      <x:c r="C115" t="str">
        <x:v>BIO-RA-200</x:v>
      </x:c>
      <x:c r="D115" t="str">
        <x:v>Product Gamma</x:v>
      </x:c>
      <x:c r="E115" s="10" t="n">
        <x:v>4270</x:v>
      </x:c>
      <x:c r="F115" s="11" t="n">
        <x:v>1121</x:v>
      </x:c>
      <x:c r="G115" s="12" t="n">
        <x:v>0.27</x:v>
      </x:c>
      <x:c r="H115" s="11" t="n">
        <x:f>F115*(1-G115)</x:f>
        <x:v>818.3299999999999</x:v>
      </x:c>
      <x:c r="I115" s="11" t="n">
        <x:f>E115*H115</x:f>
        <x:v>3494269.0999999996</x:v>
      </x:c>
      <x:c r="J115" t="str">
        <x:v>Lost</x:v>
      </x:c>
      <x:c r="K115" t="str">
        <x:v>Lowest Price</x:v>
      </x:c>
      <x:c r="L115" t="str">
        <x:v>36 months</x:v>
      </x:c>
    </x:row>
    <x:row r="116">
      <x:c r="A116" s="9" t="n">
        <x:v>45398</x:v>
      </x:c>
      <x:c r="B116" t="str">
        <x:v>BluePeak Payer Coalition</x:v>
      </x:c>
      <x:c r="C116" t="str">
        <x:v>RX-CARD-50</x:v>
      </x:c>
      <x:c r="D116" t="str">
        <x:v>Product Delta</x:v>
      </x:c>
      <x:c r="E116" s="10" t="n">
        <x:v>4307</x:v>
      </x:c>
      <x:c r="F116" s="11" t="n">
        <x:v>394.8</x:v>
      </x:c>
      <x:c r="G116" s="12" t="n">
        <x:v>0.245</x:v>
      </x:c>
      <x:c r="H116" s="11" t="n">
        <x:f>F116*(1-G116)</x:f>
        <x:v>298.074</x:v>
      </x:c>
      <x:c r="I116" s="11" t="n">
        <x:f>E116*H116</x:f>
        <x:v>1283804.718</x:v>
      </x:c>
      <x:c r="J116" t="str">
        <x:v>Split</x:v>
      </x:c>
      <x:c r="K116" t="str">
        <x:v>Incumbent Supplier</x:v>
      </x:c>
      <x:c r="L116" t="str">
        <x:v>Framework call-off</x:v>
      </x:c>
    </x:row>
    <x:row r="117">
      <x:c r="A117" s="9" t="n">
        <x:v>45794</x:v>
      </x:c>
      <x:c r="B117" t="str">
        <x:v>Apex National GPO</x:v>
      </x:c>
      <x:c r="C117" t="str">
        <x:v>RX-RARE-10</x:v>
      </x:c>
      <x:c r="D117" t="str">
        <x:v>Product Epsilon</x:v>
      </x:c>
      <x:c r="E117" s="10" t="n">
        <x:v>4344</x:v>
      </x:c>
      <x:c r="F117" s="11" t="n">
        <x:v>27170</x:v>
      </x:c>
      <x:c r="G117" s="12" t="n">
        <x:v>0.22</x:v>
      </x:c>
      <x:c r="H117" s="11" t="n">
        <x:f>F117*(1-G117)</x:f>
        <x:v>21192.600000000002</x:v>
      </x:c>
      <x:c r="I117" s="11" t="n">
        <x:f>E117*H117</x:f>
        <x:v>92060654.4</x:v>
      </x:c>
      <x:c r="J117" t="str">
        <x:v>Won</x:v>
      </x:c>
      <x:c r="K117" t="str">
        <x:v>Preferred Local Supplier</x:v>
      </x:c>
      <x:c r="L117" t="str">
        <x:v>12 months</x:v>
      </x:c>
    </x:row>
    <x:row r="118">
      <x:c r="A118" s="9" t="n">
        <x:v>46191</x:v>
      </x:c>
      <x:c r="B118" t="str">
        <x:v>Cityline Payer Alliance</x:v>
      </x:c>
      <x:c r="C118" t="str">
        <x:v>DX-COMP-01</x:v>
      </x:c>
      <x:c r="D118" t="str">
        <x:v>Product Zeta</x:v>
      </x:c>
      <x:c r="E118" s="10" t="n">
        <x:v>4381</x:v>
      </x:c>
      <x:c r="F118" s="11" t="n">
        <x:v>902.5</x:v>
      </x:c>
      <x:c r="G118" s="12" t="n">
        <x:v>0.195</x:v>
      </x:c>
      <x:c r="H118" s="11" t="n">
        <x:f>F118*(1-G118)</x:f>
        <x:v>726.5124999999999</x:v>
      </x:c>
      <x:c r="I118" s="11" t="n">
        <x:f>E118*H118</x:f>
        <x:v>3182851.2624999997</x:v>
      </x:c>
      <x:c r="J118" t="str">
        <x:v>Lost</x:v>
      </x:c>
      <x:c r="K118" t="str">
        <x:v>Better Product Evidence</x:v>
      </x:c>
      <x:c r="L118" t="str">
        <x:v>24 months</x:v>
      </x:c>
    </x:row>
    <x:row r="119">
      <x:c r="A119" s="9" t="n">
        <x:v>45492</x:v>
      </x:c>
      <x:c r="B119" t="str">
        <x:v>Orion Hospital Trust</x:v>
      </x:c>
      <x:c r="C119" t="str">
        <x:v>RX-HOSP-20</x:v>
      </x:c>
      <x:c r="D119" t="str">
        <x:v>Product Eta</x:v>
      </x:c>
      <x:c r="E119" s="10" t="n">
        <x:v>4418</x:v>
      </x:c>
      <x:c r="F119" s="11" t="n">
        <x:v>1240.8</x:v>
      </x:c>
      <x:c r="G119" s="12" t="n">
        <x:v>0.17</x:v>
      </x:c>
      <x:c r="H119" s="11" t="n">
        <x:f>F119*(1-G119)</x:f>
        <x:v>1029.8639999999998</x:v>
      </x:c>
      <x:c r="I119" s="11" t="n">
        <x:f>E119*H119</x:f>
        <x:v>4549939.151999999</x:v>
      </x:c>
      <x:c r="J119" t="str">
        <x:v>Split</x:v>
      </x:c>
      <x:c r="K119" t="str">
        <x:v>Better Service Offering</x:v>
      </x:c>
      <x:c r="L119" t="str">
        <x:v>36 months</x:v>
      </x:c>
    </x:row>
    <x:row r="120">
      <x:c r="A120" s="9" t="n">
        <x:v>45889</x:v>
      </x:c>
      <x:c r="B120" t="str">
        <x:v>Crescent Public Tender Authority</x:v>
      </x:c>
      <x:c r="C120" t="str">
        <x:v>BIO-DERM-80</x:v>
      </x:c>
      <x:c r="D120" t="str">
        <x:v>Product Theta</x:v>
      </x:c>
      <x:c r="E120" s="10" t="n">
        <x:v>4455</x:v>
      </x:c>
      <x:c r="F120" s="11" t="n">
        <x:v>931</x:v>
      </x:c>
      <x:c r="G120" s="12" t="n">
        <x:v>0.145</x:v>
      </x:c>
      <x:c r="H120" s="11" t="n">
        <x:f>F120*(1-G120)</x:f>
        <x:v>796.005</x:v>
      </x:c>
      <x:c r="I120" s="11" t="n">
        <x:f>E120*H120</x:f>
        <x:v>3546202.275</x:v>
      </x:c>
      <x:c r="J120" t="str">
        <x:v>Won</x:v>
      </x:c>
      <x:c r="K120" t="str">
        <x:v>Supply Assurance</x:v>
      </x:c>
      <x:c r="L120" t="str">
        <x:v>Framework call-off</x:v>
      </x:c>
    </x:row>
    <x:row r="121">
      <x:c r="A121" s="9" t="n">
        <x:v>46286</x:v>
      </x:c>
      <x:c r="B121" t="str">
        <x:v>Union National Payer</x:v>
      </x:c>
      <x:c r="C121" t="str">
        <x:v>RX-ONC-ORAL</x:v>
      </x:c>
      <x:c r="D121" t="str">
        <x:v>Product Iota</x:v>
      </x:c>
      <x:c r="E121" s="10" t="n">
        <x:v>4492</x:v>
      </x:c>
      <x:c r="F121" s="11" t="n">
        <x:v>9024</x:v>
      </x:c>
      <x:c r="G121" s="12" t="n">
        <x:v>0.12</x:v>
      </x:c>
      <x:c r="H121" s="11" t="n">
        <x:f>F121*(1-G121)</x:f>
        <x:v>7941.12</x:v>
      </x:c>
      <x:c r="I121" s="11" t="n">
        <x:f>E121*H121</x:f>
        <x:v>35671511.04</x:v>
      </x:c>
      <x:c r="J121" t="str">
        <x:v>Lost</x:v>
      </x:c>
      <x:c r="K121" t="str">
        <x:v>Contract Duration</x:v>
      </x:c>
      <x:c r="L121" t="str">
        <x:v>12 months</x:v>
      </x:c>
    </x:row>
    <x:row r="122">
      <x:c r="A122" s="9" t="n">
        <x:v>45587</x:v>
      </x:c>
      <x:c r="B122" t="str">
        <x:v>Atlas Hospital Network</x:v>
      </x:c>
      <x:c r="C122" t="str">
        <x:v>RX-RARE-INF</x:v>
      </x:c>
      <x:c r="D122" t="str">
        <x:v>Product Kappa</x:v>
      </x:c>
      <x:c r="E122" s="10" t="n">
        <x:v>4529</x:v>
      </x:c>
      <x:c r="F122" s="11" t="n">
        <x:v>33060</x:v>
      </x:c>
      <x:c r="G122" s="12" t="n">
        <x:v>0.32</x:v>
      </x:c>
      <x:c r="H122" s="11" t="n">
        <x:f>F122*(1-G122)</x:f>
        <x:v>22480.8</x:v>
      </x:c>
      <x:c r="I122" s="11" t="n">
        <x:f>E122*H122</x:f>
        <x:v>101815543.2</x:v>
      </x:c>
      <x:c r="J122" t="str">
        <x:v>Split</x:v>
      </x:c>
      <x:c r="K122" t="str">
        <x:v>Bundled Offer</x:v>
      </x:c>
      <x:c r="L122" t="str">
        <x:v>24 months</x:v>
      </x:c>
    </x:row>
    <x:row r="123">
      <x:c r="A123" s="9" t="n">
        <x:v>45984</x:v>
      </x:c>
      <x:c r="B123" t="str">
        <x:v>Europa Health Purchasing</x:v>
      </x:c>
      <x:c r="C123" t="str">
        <x:v>DX-GENE-02</x:v>
      </x:c>
      <x:c r="D123" t="str">
        <x:v>Product Lambda</x:v>
      </x:c>
      <x:c r="E123" s="10" t="n">
        <x:v>4566</x:v>
      </x:c>
      <x:c r="F123" s="11" t="n">
        <x:v>1216</x:v>
      </x:c>
      <x:c r="G123" s="12" t="n">
        <x:v>0.295</x:v>
      </x:c>
      <x:c r="H123" s="11" t="n">
        <x:f>F123*(1-G123)</x:f>
        <x:v>857.2800000000001</x:v>
      </x:c>
      <x:c r="I123" s="11" t="n">
        <x:f>E123*H123</x:f>
        <x:v>3914340.4800000004</x:v>
      </x:c>
      <x:c r="J123" t="str">
        <x:v>Won</x:v>
      </x:c>
      <x:c r="K123" t="str">
        <x:v>Technical Requirement Match</x:v>
      </x:c>
      <x:c r="L123" t="str">
        <x:v>36 months</x:v>
      </x:c>
    </x:row>
    <x:row r="124">
      <x:c r="A124" s="9" t="n">
        <x:v>46380</x:v>
      </x:c>
      <x:c r="B124" t="str">
        <x:v>BluePeak Payer Coalition</x:v>
      </x:c>
      <x:c r="C124" t="str">
        <x:v>SVC-PAT-01</x:v>
      </x:c>
      <x:c r="D124" t="str">
        <x:v>Product Mu</x:v>
      </x:c>
      <x:c r="E124" s="10" t="n">
        <x:v>4603</x:v>
      </x:c>
      <x:c r="F124" s="11" t="n">
        <x:v>42000</x:v>
      </x:c>
      <x:c r="G124" s="12" t="n">
        <x:v>0.27</x:v>
      </x:c>
      <x:c r="H124" s="11" t="n">
        <x:f>F124*(1-G124)</x:f>
        <x:v>30660</x:v>
      </x:c>
      <x:c r="I124" s="11" t="n">
        <x:f>E124*H124</x:f>
        <x:v>141127980</x:v>
      </x:c>
      <x:c r="J124" t="str">
        <x:v>Lost</x:v>
      </x:c>
      <x:c r="K124" t="str">
        <x:v>Relationship Advantage</x:v>
      </x:c>
      <x:c r="L124" t="str">
        <x:v>Framework call-off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6e6a504460040bd"/>
  </x:tableParts>
</x:worksheet>
</file>