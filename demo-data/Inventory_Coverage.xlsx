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d84e3122c24a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 Coverage" sheetId="1" r:id="R237780b0f20c42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"/>
    <x:numFmt numFmtId="203" formatCode="0"/>
  </x:numFmts>
  <x:fonts count="3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557A"/>
      </x:patternFill>
    </x:fill>
    <x:fill>
      <x:patternFill patternType="solid">
        <x:fgColor rgb="FFEEF3F7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91678c4fab4183" /><Relationship Type="http://schemas.openxmlformats.org/officeDocument/2006/relationships/theme" Target="/xl/theme/theme1.xml" Id="Rf560effea92c4608" /><Relationship Type="http://schemas.openxmlformats.org/officeDocument/2006/relationships/sharedStrings" Target="/xl/sharedStrings.xml" Id="Rfecfe90f480b4b71" /><Relationship Type="http://schemas.openxmlformats.org/officeDocument/2006/relationships/worksheet" Target="/xl/worksheets/sheet1.xml" Id="R237780b0f20c4287" /></Relationships>
</file>

<file path=xl/tables/table1.xml><?xml version="1.0" encoding="utf-8"?>
<x:table xmlns:x="http://schemas.openxmlformats.org/spreadsheetml/2006/main" id="1" name="InventoryCoverage" displayName="InventoryCoverage" ref="A4:P172" headerRowCount="1">
  <x:tableColumns count="16">
    <x:tableColumn id="1" name="Snapshot Date"/>
    <x:tableColumn id="2" name="Warehouse Location"/>
    <x:tableColumn id="3" name="SKU"/>
    <x:tableColumn id="4" name="Product Name"/>
    <x:tableColumn id="5" name="Storage Condition"/>
    <x:tableColumn id="6" name="On Hand Inventory"/>
    <x:tableColumn id="7" name="Reserved Inventory"/>
    <x:tableColumn id="8" name="Available Inventory"/>
    <x:tableColumn id="9" name="Open Purchase Orders"/>
    <x:tableColumn id="10" name="In Transit Inventory"/>
    <x:tableColumn id="11" name="Average Monthly Demand 6M"/>
    <x:tableColumn id="12" name="Coverage Days"/>
    <x:tableColumn id="13" name="Coverage Months"/>
    <x:tableColumn id="14" name="Lead Time Days"/>
    <x:tableColumn id="15" name="Coverage Status"/>
    <x:tableColumn id="16" name="Supply Recommenda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0ca95ab26140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6" hidden="0" customWidth="1"/>
    <x:col min="4" max="4" width="22" hidden="0" customWidth="1"/>
    <x:col min="5" max="5" width="21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19" hidden="0" customWidth="1"/>
    <x:col min="11" max="11" width="25" hidden="0" customWidth="1"/>
    <x:col min="12" max="12" width="15" hidden="0" customWidth="1"/>
    <x:col min="13" max="13" width="17" hidden="0" customWidth="1"/>
    <x:col min="14" max="14" width="16" hidden="0" customWidth="1"/>
    <x:col min="15" max="15" width="16" hidden="0" customWidth="1"/>
    <x:col min="16" max="16" width="38" hidden="0" customWidth="1"/>
  </x:cols>
  <x:sheetData>
    <x:row r="1" ht="28" customHeight="1">
      <x:c r="A1" s="4" t="str">
        <x:v>Inventory Coverage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4" customHeight="1">
      <x:c r="A2" s="7" t="str">
        <x:v>Warehouse inventory position, inbound supply, demand coverage, and recommended supply response.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>
      <x:c r="A4" t="str">
        <x:v>Snapshot Date</x:v>
      </x:c>
      <x:c r="B4" t="str">
        <x:v>Warehouse Location</x:v>
      </x:c>
      <x:c r="C4" t="str">
        <x:v>SKU</x:v>
      </x:c>
      <x:c r="D4" t="str">
        <x:v>Product Name</x:v>
      </x:c>
      <x:c r="E4" t="str">
        <x:v>Storage Condition</x:v>
      </x:c>
      <x:c r="F4" t="str">
        <x:v>On Hand Inventory</x:v>
      </x:c>
      <x:c r="G4" t="str">
        <x:v>Reserved Inventory</x:v>
      </x:c>
      <x:c r="H4" t="str">
        <x:v>Available Inventory</x:v>
      </x:c>
      <x:c r="I4" t="str">
        <x:v>Open Purchase Orders</x:v>
      </x:c>
      <x:c r="J4" t="str">
        <x:v>In Transit Inventory</x:v>
      </x:c>
      <x:c r="K4" t="str">
        <x:v>Average Monthly Demand 6M</x:v>
      </x:c>
      <x:c r="L4" t="str">
        <x:v>Coverage Days</x:v>
      </x:c>
      <x:c r="M4" t="str">
        <x:v>Coverage Months</x:v>
      </x:c>
      <x:c r="N4" t="str">
        <x:v>Lead Time Days</x:v>
      </x:c>
      <x:c r="O4" t="str">
        <x:v>Coverage Status</x:v>
      </x:c>
      <x:c r="P4" t="str">
        <x:v>Supply Recommendation</x:v>
      </x:c>
    </x:row>
    <x:row r="5">
      <x:c r="A5" s="8" t="str">
        <x:v>2026-06-14</x:v>
      </x:c>
      <x:c r="B5" t="str">
        <x:v>Central Warehouse A</x:v>
      </x:c>
      <x:c r="C5" t="str">
        <x:v>RX-ONC-100</x:v>
      </x:c>
      <x:c r="D5" t="str">
        <x:v>Product Alpha</x:v>
      </x:c>
      <x:c r="E5" t="str">
        <x:v>Refrigerated (2-8 C)</x:v>
      </x:c>
      <x:c r="F5" s="9" t="n">
        <x:v>78</x:v>
      </x:c>
      <x:c r="G5" s="9" t="n">
        <x:v>0</x:v>
      </x:c>
      <x:c r="H5" s="9" t="n">
        <x:f>F5-G5</x:f>
        <x:v>78</x:v>
      </x:c>
      <x:c r="I5" s="9" t="n">
        <x:v>0</x:v>
      </x:c>
      <x:c r="J5" s="9" t="n">
        <x:v>0</x:v>
      </x:c>
      <x:c r="K5" s="9" t="n">
        <x:v>155</x:v>
      </x:c>
      <x:c r="L5" s="9" t="n">
        <x:f>M5*30</x:f>
        <x:v>15.096774193548386</x:v>
      </x:c>
      <x:c r="M5" s="10" t="n">
        <x:f>IF(K5=0,0,H5/K5)</x:f>
        <x:v>0.5032258064516129</x:v>
      </x:c>
      <x:c r="N5" s="11" t="n">
        <x:v>21</x:v>
      </x:c>
      <x:c r="O5" t="str">
        <x:f>IF(L5&lt;N5,"Critical",IF(L5&lt;=60,"At Risk",IF(L5&lt;=120,"Tight","Adequate")))</x:f>
        <x:v>Critical</x:v>
      </x:c>
      <x:c r="P5" s="12" t="str">
        <x:f>IF(O5="Critical","Escalate supply review and confirm allocation",IF(O5="At Risk","Prioritize available inventory and expedite inbound supply",IF(O5="Tight","Monitor demand and expedite purchase orders","Maintain planned replenishment")))</x:f>
        <x:v>Escalate supply review and confirm allocation</x:v>
      </x:c>
    </x:row>
    <x:row r="6">
      <x:c r="A6" s="8" t="str">
        <x:v>2026-06-14</x:v>
      </x:c>
      <x:c r="B6" t="str">
        <x:v>Central Warehouse A</x:v>
      </x:c>
      <x:c r="C6" t="str">
        <x:v>RX-ONC-500</x:v>
      </x:c>
      <x:c r="D6" t="str">
        <x:v>Product Beta</x:v>
      </x:c>
      <x:c r="E6" t="str">
        <x:v>Refrigerated (2-8 C)</x:v>
      </x:c>
      <x:c r="F6" s="9" t="n">
        <x:v>155</x:v>
      </x:c>
      <x:c r="G6" s="9" t="n">
        <x:v>11</x:v>
      </x:c>
      <x:c r="H6" s="9" t="n">
        <x:f>F6-G6</x:f>
        <x:v>144</x:v>
      </x:c>
      <x:c r="I6" s="9" t="n">
        <x:v>22</x:v>
      </x:c>
      <x:c r="J6" s="9" t="n">
        <x:v>14</x:v>
      </x:c>
      <x:c r="K6" s="9" t="n">
        <x:v>182</x:v>
      </x:c>
      <x:c r="L6" s="9" t="n">
        <x:f>M6*30</x:f>
        <x:v>23.736263736263734</x:v>
      </x:c>
      <x:c r="M6" s="10" t="n">
        <x:f>IF(K6=0,0,H6/K6)</x:f>
        <x:v>0.7912087912087912</x:v>
      </x:c>
      <x:c r="N6" s="11" t="n">
        <x:v>28</x:v>
      </x:c>
      <x:c r="O6" t="str">
        <x:f>IF(L6&lt;N6,"Critical",IF(L6&lt;=60,"At Risk",IF(L6&lt;=120,"Tight","Adequate")))</x:f>
        <x:v>Critical</x:v>
      </x:c>
      <x:c r="P6" s="12" t="str">
        <x:f>IF(O6="Critical","Escalate supply review and confirm allocation",IF(O6="At Risk","Prioritize available inventory and expedite inbound supply",IF(O6="Tight","Monitor demand and expedite purchase orders","Maintain planned replenishment")))</x:f>
        <x:v>Escalate supply review and confirm allocation</x:v>
      </x:c>
    </x:row>
    <x:row r="7">
      <x:c r="A7" s="8" t="str">
        <x:v>2026-06-14</x:v>
      </x:c>
      <x:c r="B7" t="str">
        <x:v>Central Warehouse A</x:v>
      </x:c>
      <x:c r="C7" t="str">
        <x:v>BIO-RA-200</x:v>
      </x:c>
      <x:c r="D7" t="str">
        <x:v>Product Gamma</x:v>
      </x:c>
      <x:c r="E7" t="str">
        <x:v>Refrigerated (2-8 C)</x:v>
      </x:c>
      <x:c r="F7" s="9" t="n">
        <x:v>251</x:v>
      </x:c>
      <x:c r="G7" s="9" t="n">
        <x:v>35</x:v>
      </x:c>
      <x:c r="H7" s="9" t="n">
        <x:f>F7-G7</x:f>
        <x:v>216</x:v>
      </x:c>
      <x:c r="I7" s="9" t="n">
        <x:v>50</x:v>
      </x:c>
      <x:c r="J7" s="9" t="n">
        <x:v>34</x:v>
      </x:c>
      <x:c r="K7" s="9" t="n">
        <x:v>209</x:v>
      </x:c>
      <x:c r="L7" s="9" t="n">
        <x:f>M7*30</x:f>
        <x:v>31.004784688995215</x:v>
      </x:c>
      <x:c r="M7" s="10" t="n">
        <x:f>IF(K7=0,0,H7/K7)</x:f>
        <x:v>1.0334928229665072</x:v>
      </x:c>
      <x:c r="N7" s="11" t="n">
        <x:v>18</x:v>
      </x:c>
      <x:c r="O7" t="str">
        <x:f>IF(L7&lt;N7,"Critical",IF(L7&lt;=60,"At Risk",IF(L7&lt;=120,"Tight","Adequate")))</x:f>
        <x:v>At Risk</x:v>
      </x:c>
      <x:c r="P7" s="12" t="str">
        <x:f>IF(O7="Critical","Escalate supply review and confirm allocation",IF(O7="At Risk","Prioritize available inventory and expedite inbound supply",IF(O7="Tight","Monitor demand and expedite purchase orders","Maintain planned replenishment")))</x:f>
        <x:v>Prioritize available inventory and expedite inbound supply</x:v>
      </x:c>
    </x:row>
    <x:row r="8">
      <x:c r="A8" s="8" t="str">
        <x:v>2026-06-14</x:v>
      </x:c>
      <x:c r="B8" t="str">
        <x:v>Central Warehouse A</x:v>
      </x:c>
      <x:c r="C8" t="str">
        <x:v>RX-CARD-50</x:v>
      </x:c>
      <x:c r="D8" t="str">
        <x:v>Product Delta</x:v>
      </x:c>
      <x:c r="E8" t="str">
        <x:v>Ambient</x:v>
      </x:c>
      <x:c r="F8" s="9" t="n">
        <x:v>366</x:v>
      </x:c>
      <x:c r="G8" s="9" t="n">
        <x:v>77</x:v>
      </x:c>
      <x:c r="H8" s="9" t="n">
        <x:f>F8-G8</x:f>
        <x:v>289</x:v>
      </x:c>
      <x:c r="I8" s="9" t="n">
        <x:v>85</x:v>
      </x:c>
      <x:c r="J8" s="9" t="n">
        <x:v>57</x:v>
      </x:c>
      <x:c r="K8" s="9" t="n">
        <x:v>236</x:v>
      </x:c>
      <x:c r="L8" s="9" t="n">
        <x:f>M8*30</x:f>
        <x:v>36.737288135593225</x:v>
      </x:c>
      <x:c r="M8" s="10" t="n">
        <x:f>IF(K8=0,0,H8/K8)</x:f>
        <x:v>1.2245762711864407</x:v>
      </x:c>
      <x:c r="N8" s="11" t="n">
        <x:v>7</x:v>
      </x:c>
      <x:c r="O8" t="str">
        <x:f>IF(L8&lt;N8,"Critical",IF(L8&lt;=60,"At Risk",IF(L8&lt;=120,"Tight","Adequate")))</x:f>
        <x:v>At Risk</x:v>
      </x:c>
      <x:c r="P8" s="12" t="str">
        <x:f>IF(O8="Critical","Escalate supply review and confirm allocation",IF(O8="At Risk","Prioritize available inventory and expedite inbound supply",IF(O8="Tight","Monitor demand and expedite purchase orders","Maintain planned replenishment")))</x:f>
        <x:v>Prioritize available inventory and expedite inbound supply</x:v>
      </x:c>
    </x:row>
    <x:row r="9">
      <x:c r="A9" s="8" t="str">
        <x:v>2026-06-14</x:v>
      </x:c>
      <x:c r="B9" t="str">
        <x:v>Central Warehouse A</x:v>
      </x:c>
      <x:c r="C9" t="str">
        <x:v>RX-RARE-10</x:v>
      </x:c>
      <x:c r="D9" t="str">
        <x:v>Product Epsilon</x:v>
      </x:c>
      <x:c r="E9" t="str">
        <x:v>Refrigerated (2-8 C)</x:v>
      </x:c>
      <x:c r="F9" s="9" t="n">
        <x:v>500</x:v>
      </x:c>
      <x:c r="G9" s="9" t="n">
        <x:v>140</x:v>
      </x:c>
      <x:c r="H9" s="9" t="n">
        <x:f>F9-G9</x:f>
        <x:v>360</x:v>
      </x:c>
      <x:c r="I9" s="9" t="n">
        <x:v>126</x:v>
      </x:c>
      <x:c r="J9" s="9" t="n">
        <x:v>84</x:v>
      </x:c>
      <x:c r="K9" s="9" t="n">
        <x:v>263</x:v>
      </x:c>
      <x:c r="L9" s="9" t="n">
        <x:f>M9*30</x:f>
        <x:v>41.06463878326996</x:v>
      </x:c>
      <x:c r="M9" s="10" t="n">
        <x:f>IF(K9=0,0,H9/K9)</x:f>
        <x:v>1.3688212927756653</x:v>
      </x:c>
      <x:c r="N9" s="11" t="n">
        <x:v>45</x:v>
      </x:c>
      <x:c r="O9" t="str">
        <x:f>IF(L9&lt;N9,"Critical",IF(L9&lt;=60,"At Risk",IF(L9&lt;=120,"Tight","Adequate")))</x:f>
        <x:v>Critical</x:v>
      </x:c>
      <x:c r="P9" s="12" t="str">
        <x:f>IF(O9="Critical","Escalate supply review and confirm allocation",IF(O9="At Risk","Prioritize available inventory and expedite inbound supply",IF(O9="Tight","Monitor demand and expedite purchase orders","Maintain planned replenishment")))</x:f>
        <x:v>Escalate supply review and confirm allocation</x:v>
      </x:c>
    </x:row>
    <x:row r="10">
      <x:c r="A10" s="8" t="str">
        <x:v>2026-06-14</x:v>
      </x:c>
      <x:c r="B10" t="str">
        <x:v>Central Warehouse A</x:v>
      </x:c>
      <x:c r="C10" t="str">
        <x:v>DX-COMP-01</x:v>
      </x:c>
      <x:c r="D10" t="str">
        <x:v>Product Zeta</x:v>
      </x:c>
      <x:c r="E10" t="str">
        <x:v>Ambient</x:v>
      </x:c>
      <x:c r="F10" s="9" t="n">
        <x:v>653</x:v>
      </x:c>
      <x:c r="G10" s="9" t="n">
        <x:v>229</x:v>
      </x:c>
      <x:c r="H10" s="9" t="n">
        <x:f>F10-G10</x:f>
        <x:v>424</x:v>
      </x:c>
      <x:c r="I10" s="9" t="n">
        <x:v>0</x:v>
      </x:c>
      <x:c r="J10" s="9" t="n">
        <x:v>0</x:v>
      </x:c>
      <x:c r="K10" s="9" t="n">
        <x:v>290</x:v>
      </x:c>
      <x:c r="L10" s="9" t="n">
        <x:f>M10*30</x:f>
        <x:v>43.862068965517246</x:v>
      </x:c>
      <x:c r="M10" s="10" t="n">
        <x:f>IF(K10=0,0,H10/K10)</x:f>
        <x:v>1.4620689655172414</x:v>
      </x:c>
      <x:c r="N10" s="11" t="n">
        <x:v>10</x:v>
      </x:c>
      <x:c r="O10" t="str">
        <x:f>IF(L10&lt;N10,"Critical",IF(L10&lt;=60,"At Risk",IF(L10&lt;=120,"Tight","Adequate")))</x:f>
        <x:v>At Risk</x:v>
      </x:c>
      <x:c r="P10" s="12" t="str">
        <x:f>IF(O10="Critical","Escalate supply review and confirm allocation",IF(O10="At Risk","Prioritize available inventory and expedite inbound supply",IF(O10="Tight","Monitor demand and expedite purchase orders","Maintain planned replenishment")))</x:f>
        <x:v>Prioritize available inventory and expedite inbound supply</x:v>
      </x:c>
    </x:row>
    <x:row r="11">
      <x:c r="A11" s="8" t="str">
        <x:v>2026-06-14</x:v>
      </x:c>
      <x:c r="B11" t="str">
        <x:v>Central Warehouse A</x:v>
      </x:c>
      <x:c r="C11" t="str">
        <x:v>RX-HOSP-20</x:v>
      </x:c>
      <x:c r="D11" t="str">
        <x:v>Product Eta</x:v>
      </x:c>
      <x:c r="E11" t="str">
        <x:v>Ambient</x:v>
      </x:c>
      <x:c r="F11" s="9" t="n">
        <x:v>824</x:v>
      </x:c>
      <x:c r="G11" s="9" t="n">
        <x:v>0</x:v>
      </x:c>
      <x:c r="H11" s="9" t="n">
        <x:f>F11-G11</x:f>
        <x:v>824</x:v>
      </x:c>
      <x:c r="I11" s="9" t="n">
        <x:v>38</x:v>
      </x:c>
      <x:c r="J11" s="9" t="n">
        <x:v>25</x:v>
      </x:c>
      <x:c r="K11" s="9" t="n">
        <x:v>317</x:v>
      </x:c>
      <x:c r="L11" s="9" t="n">
        <x:f>M11*30</x:f>
        <x:v>77.98107255520505</x:v>
      </x:c>
      <x:c r="M11" s="10" t="n">
        <x:f>IF(K11=0,0,H11/K11)</x:f>
        <x:v>2.5993690851735014</x:v>
      </x:c>
      <x:c r="N11" s="11" t="n">
        <x:v>14</x:v>
      </x:c>
      <x:c r="O11" t="str">
        <x:f>IF(L11&lt;N11,"Critical",IF(L11&lt;=60,"At Risk",IF(L11&lt;=120,"Tight","Adequate")))</x:f>
        <x:v>Tight</x:v>
      </x:c>
      <x:c r="P11" s="12" t="str">
        <x:f>IF(O11="Critical","Escalate supply review and confirm allocation",IF(O11="At Risk","Prioritize available inventory and expedite inbound supply",IF(O11="Tight","Monitor demand and expedite purchase orders","Maintain planned replenishment")))</x:f>
        <x:v>Monitor demand and expedite purchase orders</x:v>
      </x:c>
    </x:row>
    <x:row r="12">
      <x:c r="A12" s="8" t="str">
        <x:v>2026-06-14</x:v>
      </x:c>
      <x:c r="B12" t="str">
        <x:v>Central Warehouse A</x:v>
      </x:c>
      <x:c r="C12" t="str">
        <x:v>BIO-DERM-80</x:v>
      </x:c>
      <x:c r="D12" t="str">
        <x:v>Product Theta</x:v>
      </x:c>
      <x:c r="E12" t="str">
        <x:v>Refrigerated (2-8 C)</x:v>
      </x:c>
      <x:c r="F12" s="9" t="n">
        <x:v>1015</x:v>
      </x:c>
      <x:c r="G12" s="9" t="n">
        <x:v>71</x:v>
      </x:c>
      <x:c r="H12" s="9" t="n">
        <x:f>F12-G12</x:f>
        <x:v>944</x:v>
      </x:c>
      <x:c r="I12" s="9" t="n">
        <x:v>83</x:v>
      </x:c>
      <x:c r="J12" s="9" t="n">
        <x:v>55</x:v>
      </x:c>
      <x:c r="K12" s="9" t="n">
        <x:v>344</x:v>
      </x:c>
      <x:c r="L12" s="9" t="n">
        <x:f>M12*30</x:f>
        <x:v>82.32558139534883</x:v>
      </x:c>
      <x:c r="M12" s="10" t="n">
        <x:f>IF(K12=0,0,H12/K12)</x:f>
        <x:v>2.744186046511628</x:v>
      </x:c>
      <x:c r="N12" s="11" t="n">
        <x:v>16</x:v>
      </x:c>
      <x:c r="O12" t="str">
        <x:f>IF(L12&lt;N12,"Critical",IF(L12&lt;=60,"At Risk",IF(L12&lt;=120,"Tight","Adequate")))</x:f>
        <x:v>Tight</x:v>
      </x:c>
      <x:c r="P12" s="12" t="str">
        <x:f>IF(O12="Critical","Escalate supply review and confirm allocation",IF(O12="At Risk","Prioritize available inventory and expedite inbound supply",IF(O12="Tight","Monitor demand and expedite purchase orders","Maintain planned replenishment")))</x:f>
        <x:v>Monitor demand and expedite purchase orders</x:v>
      </x:c>
    </x:row>
    <x:row r="13">
      <x:c r="A13" s="8" t="str">
        <x:v>2026-06-14</x:v>
      </x:c>
      <x:c r="B13" t="str">
        <x:v>Central Warehouse A</x:v>
      </x:c>
      <x:c r="C13" t="str">
        <x:v>RX-ONC-ORAL</x:v>
      </x:c>
      <x:c r="D13" t="str">
        <x:v>Product Iota</x:v>
      </x:c>
      <x:c r="E13" t="str">
        <x:v>Ambient</x:v>
      </x:c>
      <x:c r="F13" s="9" t="n">
        <x:v>1224</x:v>
      </x:c>
      <x:c r="G13" s="9" t="n">
        <x:v>171</x:v>
      </x:c>
      <x:c r="H13" s="9" t="n">
        <x:f>F13-G13</x:f>
        <x:v>1053</x:v>
      </x:c>
      <x:c r="I13" s="9" t="n">
        <x:v>134</x:v>
      </x:c>
      <x:c r="J13" s="9" t="n">
        <x:v>89</x:v>
      </x:c>
      <x:c r="K13" s="9" t="n">
        <x:v>371</x:v>
      </x:c>
      <x:c r="L13" s="9" t="n">
        <x:f>M13*30</x:f>
        <x:v>85.14824797843666</x:v>
      </x:c>
      <x:c r="M13" s="10" t="n">
        <x:f>IF(K13=0,0,H13/K13)</x:f>
        <x:v>2.838274932614555</x:v>
      </x:c>
      <x:c r="N13" s="11" t="n">
        <x:v>12</x:v>
      </x:c>
      <x:c r="O13" t="str">
        <x:f>IF(L13&lt;N13,"Critical",IF(L13&lt;=60,"At Risk",IF(L13&lt;=120,"Tight","Adequate")))</x:f>
        <x:v>Tight</x:v>
      </x:c>
      <x:c r="P13" s="12" t="str">
        <x:f>IF(O13="Critical","Escalate supply review and confirm allocation",IF(O13="At Risk","Prioritize available inventory and expedite inbound supply",IF(O13="Tight","Monitor demand and expedite purchase orders","Maintain planned replenishment")))</x:f>
        <x:v>Monitor demand and expedite purchase orders</x:v>
      </x:c>
    </x:row>
    <x:row r="14">
      <x:c r="A14" s="8" t="str">
        <x:v>2026-06-14</x:v>
      </x:c>
      <x:c r="B14" t="str">
        <x:v>Central Warehouse A</x:v>
      </x:c>
      <x:c r="C14" t="str">
        <x:v>RX-RARE-INF</x:v>
      </x:c>
      <x:c r="D14" t="str">
        <x:v>Product Kappa</x:v>
      </x:c>
      <x:c r="E14" t="str">
        <x:v>Refrigerated (2-8 C)</x:v>
      </x:c>
      <x:c r="F14" s="9" t="n">
        <x:v>199</x:v>
      </x:c>
      <x:c r="G14" s="9" t="n">
        <x:v>42</x:v>
      </x:c>
      <x:c r="H14" s="9" t="n">
        <x:f>F14-G14</x:f>
        <x:v>157</x:v>
      </x:c>
      <x:c r="I14" s="9" t="n">
        <x:v>191</x:v>
      </x:c>
      <x:c r="J14" s="9" t="n">
        <x:v>127</x:v>
      </x:c>
      <x:c r="K14" s="9" t="n">
        <x:v>398</x:v>
      </x:c>
      <x:c r="L14" s="9" t="n">
        <x:f>M14*30</x:f>
        <x:v>11.834170854271356</x:v>
      </x:c>
      <x:c r="M14" s="10" t="n">
        <x:f>IF(K14=0,0,H14/K14)</x:f>
        <x:v>0.3944723618090452</x:v>
      </x:c>
      <x:c r="N14" s="11" t="n">
        <x:v>60</x:v>
      </x:c>
      <x:c r="O14" t="str">
        <x:f>IF(L14&lt;N14,"Critical",IF(L14&lt;=60,"At Risk",IF(L14&lt;=120,"Tight","Adequate")))</x:f>
        <x:v>Critical</x:v>
      </x:c>
      <x:c r="P14" s="12" t="str">
        <x:f>IF(O14="Critical","Escalate supply review and confirm allocation",IF(O14="At Risk","Prioritize available inventory and expedite inbound supply",IF(O14="Tight","Monitor demand and expedite purchase orders","Maintain planned replenishment")))</x:f>
        <x:v>Escalate supply review and confirm allocation</x:v>
      </x:c>
    </x:row>
    <x:row r="15">
      <x:c r="A15" s="8" t="str">
        <x:v>2026-06-14</x:v>
      </x:c>
      <x:c r="B15" t="str">
        <x:v>Central Warehouse A</x:v>
      </x:c>
      <x:c r="C15" t="str">
        <x:v>DX-GENE-02</x:v>
      </x:c>
      <x:c r="D15" t="str">
        <x:v>Product Lambda</x:v>
      </x:c>
      <x:c r="E15" t="str">
        <x:v>Ambient</x:v>
      </x:c>
      <x:c r="F15" s="9" t="n">
        <x:v>361</x:v>
      </x:c>
      <x:c r="G15" s="9" t="n">
        <x:v>101</x:v>
      </x:c>
      <x:c r="H15" s="9" t="n">
        <x:f>F15-G15</x:f>
        <x:v>260</x:v>
      </x:c>
      <x:c r="I15" s="9" t="n">
        <x:v>0</x:v>
      </x:c>
      <x:c r="J15" s="9" t="n">
        <x:v>0</x:v>
      </x:c>
      <x:c r="K15" s="9" t="n">
        <x:v>425</x:v>
      </x:c>
      <x:c r="L15" s="9" t="n">
        <x:f>M15*30</x:f>
        <x:v>18.35294117647059</x:v>
      </x:c>
      <x:c r="M15" s="10" t="n">
        <x:f>IF(K15=0,0,H15/K15)</x:f>
        <x:v>0.611764705882353</x:v>
      </x:c>
      <x:c r="N15" s="11" t="n">
        <x:v>12</x:v>
      </x:c>
      <x:c r="O15" t="str">
        <x:f>IF(L15&lt;N15,"Critical",IF(L15&lt;=60,"At Risk",IF(L15&lt;=120,"Tight","Adequate")))</x:f>
        <x:v>At Risk</x:v>
      </x:c>
      <x:c r="P15" s="12" t="str">
        <x:f>IF(O15="Critical","Escalate supply review and confirm allocation",IF(O15="At Risk","Prioritize available inventory and expedite inbound supply",IF(O15="Tight","Monitor demand and expedite purchase orders","Maintain planned replenishment")))</x:f>
        <x:v>Prioritize available inventory and expedite inbound supply</x:v>
      </x:c>
    </x:row>
    <x:row r="16">
      <x:c r="A16" s="8" t="str">
        <x:v>2026-06-14</x:v>
      </x:c>
      <x:c r="B16" t="str">
        <x:v>Central Warehouse A</x:v>
      </x:c>
      <x:c r="C16" t="str">
        <x:v>SVC-PAT-01</x:v>
      </x:c>
      <x:c r="D16" t="str">
        <x:v>Product Mu</x:v>
      </x:c>
      <x:c r="E16" t="str">
        <x:v>Not Applicable</x:v>
      </x:c>
      <x:c r="F16" s="9" t="n">
        <x:v>542</x:v>
      </x:c>
      <x:c r="G16" s="9" t="n">
        <x:v>190</x:v>
      </x:c>
      <x:c r="H16" s="9" t="n">
        <x:f>F16-G16</x:f>
        <x:v>352</x:v>
      </x:c>
      <x:c r="I16" s="9" t="n">
        <x:v>54</x:v>
      </x:c>
      <x:c r="J16" s="9" t="n">
        <x:v>36</x:v>
      </x:c>
      <x:c r="K16" s="9" t="n">
        <x:v>452</x:v>
      </x:c>
      <x:c r="L16" s="9" t="n">
        <x:f>M16*30</x:f>
        <x:v>23.36283185840708</x:v>
      </x:c>
      <x:c r="M16" s="10" t="n">
        <x:f>IF(K16=0,0,H16/K16)</x:f>
        <x:v>0.7787610619469026</x:v>
      </x:c>
      <x:c r="N16" s="11" t="n">
        <x:v>14</x:v>
      </x:c>
      <x:c r="O16" t="str">
        <x:f>IF(L16&lt;N16,"Critical",IF(L16&lt;=60,"At Risk",IF(L16&lt;=120,"Tight","Adequate")))</x:f>
        <x:v>At Risk</x:v>
      </x:c>
      <x:c r="P16" s="12" t="str">
        <x:f>IF(O16="Critical","Escalate supply review and confirm allocation",IF(O16="At Risk","Prioritize available inventory and expedite inbound supply",IF(O16="Tight","Monitor demand and expedite purchase orders","Maintain planned replenishment")))</x:f>
        <x:v>Prioritize available inventory and expedite inbound supply</x:v>
      </x:c>
    </x:row>
    <x:row r="17">
      <x:c r="A17" s="8" t="str">
        <x:v>2026-06-14</x:v>
      </x:c>
      <x:c r="B17" t="str">
        <x:v>Regional Warehouse A</x:v>
      </x:c>
      <x:c r="C17" t="str">
        <x:v>RX-ONC-100</x:v>
      </x:c>
      <x:c r="D17" t="str">
        <x:v>Product Alpha</x:v>
      </x:c>
      <x:c r="E17" t="str">
        <x:v>Refrigerated (2-8 C)</x:v>
      </x:c>
      <x:c r="F17" s="9" t="n">
        <x:v>170</x:v>
      </x:c>
      <x:c r="G17" s="9" t="n">
        <x:v>12</x:v>
      </x:c>
      <x:c r="H17" s="9" t="n">
        <x:f>F17-G17</x:f>
        <x:v>158</x:v>
      </x:c>
      <x:c r="I17" s="9" t="n">
        <x:v>24</x:v>
      </x:c>
      <x:c r="J17" s="9" t="n">
        <x:v>16</x:v>
      </x:c>
      <x:c r="K17" s="9" t="n">
        <x:v>200</x:v>
      </x:c>
      <x:c r="L17" s="9" t="n">
        <x:f>M17*30</x:f>
        <x:v>23.700000000000003</x:v>
      </x:c>
      <x:c r="M17" s="10" t="n">
        <x:f>IF(K17=0,0,H17/K17)</x:f>
        <x:v>0.79</x:v>
      </x:c>
      <x:c r="N17" s="11" t="n">
        <x:v>21</x:v>
      </x:c>
      <x:c r="O17" t="str">
        <x:f>IF(L17&lt;N17,"Critical",IF(L17&lt;=60,"At Risk",IF(L17&lt;=120,"Tight","Adequate")))</x:f>
        <x:v>At Risk</x:v>
      </x:c>
      <x:c r="P17" s="12" t="str">
        <x:f>IF(O17="Critical","Escalate supply review and confirm allocation",IF(O17="At Risk","Prioritize available inventory and expedite inbound supply",IF(O17="Tight","Monitor demand and expedite purchase orders","Maintain planned replenishment")))</x:f>
        <x:v>Prioritize available inventory and expedite inbound supply</x:v>
      </x:c>
    </x:row>
    <x:row r="18">
      <x:c r="A18" s="8" t="str">
        <x:v>2026-06-14</x:v>
      </x:c>
      <x:c r="B18" t="str">
        <x:v>Regional Warehouse A</x:v>
      </x:c>
      <x:c r="C18" t="str">
        <x:v>RX-ONC-500</x:v>
      </x:c>
      <x:c r="D18" t="str">
        <x:v>Product Beta</x:v>
      </x:c>
      <x:c r="E18" t="str">
        <x:v>Refrigerated (2-8 C)</x:v>
      </x:c>
      <x:c r="F18" s="9" t="n">
        <x:v>283</x:v>
      </x:c>
      <x:c r="G18" s="9" t="n">
        <x:v>40</x:v>
      </x:c>
      <x:c r="H18" s="9" t="n">
        <x:f>F18-G18</x:f>
        <x:v>243</x:v>
      </x:c>
      <x:c r="I18" s="9" t="n">
        <x:v>56</x:v>
      </x:c>
      <x:c r="J18" s="9" t="n">
        <x:v>38</x:v>
      </x:c>
      <x:c r="K18" s="9" t="n">
        <x:v>236</x:v>
      </x:c>
      <x:c r="L18" s="9" t="n">
        <x:f>M18*30</x:f>
        <x:v>30.889830508474574</x:v>
      </x:c>
      <x:c r="M18" s="10" t="n">
        <x:f>IF(K18=0,0,H18/K18)</x:f>
        <x:v>1.0296610169491525</x:v>
      </x:c>
      <x:c r="N18" s="11" t="n">
        <x:v>28</x:v>
      </x:c>
      <x:c r="O18" t="str">
        <x:f>IF(L18&lt;N18,"Critical",IF(L18&lt;=60,"At Risk",IF(L18&lt;=120,"Tight","Adequate")))</x:f>
        <x:v>At Risk</x:v>
      </x:c>
      <x:c r="P18" s="12" t="str">
        <x:f>IF(O18="Critical","Escalate supply review and confirm allocation",IF(O18="At Risk","Prioritize available inventory and expedite inbound supply",IF(O18="Tight","Monitor demand and expedite purchase orders","Maintain planned replenishment")))</x:f>
        <x:v>Prioritize available inventory and expedite inbound supply</x:v>
      </x:c>
    </x:row>
    <x:row r="19">
      <x:c r="A19" s="8" t="str">
        <x:v>2026-06-14</x:v>
      </x:c>
      <x:c r="B19" t="str">
        <x:v>Regional Warehouse A</x:v>
      </x:c>
      <x:c r="C19" t="str">
        <x:v>BIO-RA-200</x:v>
      </x:c>
      <x:c r="D19" t="str">
        <x:v>Product Gamma</x:v>
      </x:c>
      <x:c r="E19" t="str">
        <x:v>Refrigerated (2-8 C)</x:v>
      </x:c>
      <x:c r="F19" s="9" t="n">
        <x:v>422</x:v>
      </x:c>
      <x:c r="G19" s="9" t="n">
        <x:v>89</x:v>
      </x:c>
      <x:c r="H19" s="9" t="n">
        <x:f>F19-G19</x:f>
        <x:v>333</x:v>
      </x:c>
      <x:c r="I19" s="9" t="n">
        <x:v>98</x:v>
      </x:c>
      <x:c r="J19" s="9" t="n">
        <x:v>65</x:v>
      </x:c>
      <x:c r="K19" s="9" t="n">
        <x:v>272</x:v>
      </x:c>
      <x:c r="L19" s="9" t="n">
        <x:f>M19*30</x:f>
        <x:v>36.727941176470594</x:v>
      </x:c>
      <x:c r="M19" s="10" t="n">
        <x:f>IF(K19=0,0,H19/K19)</x:f>
        <x:v>1.224264705882353</x:v>
      </x:c>
      <x:c r="N19" s="11" t="n">
        <x:v>18</x:v>
      </x:c>
      <x:c r="O19" t="str">
        <x:f>IF(L19&lt;N19,"Critical",IF(L19&lt;=60,"At Risk",IF(L19&lt;=120,"Tight","Adequate")))</x:f>
        <x:v>At Risk</x:v>
      </x:c>
      <x:c r="P19" s="12" t="str">
        <x:f>IF(O19="Critical","Escalate supply review and confirm allocation",IF(O19="At Risk","Prioritize available inventory and expedite inbound supply",IF(O19="Tight","Monitor demand and expedite purchase orders","Maintain planned replenishment")))</x:f>
        <x:v>Prioritize available inventory and expedite inbound supply</x:v>
      </x:c>
    </x:row>
    <x:row r="20">
      <x:c r="A20" s="8" t="str">
        <x:v>2026-06-14</x:v>
      </x:c>
      <x:c r="B20" t="str">
        <x:v>Regional Warehouse A</x:v>
      </x:c>
      <x:c r="C20" t="str">
        <x:v>RX-CARD-50</x:v>
      </x:c>
      <x:c r="D20" t="str">
        <x:v>Product Delta</x:v>
      </x:c>
      <x:c r="E20" t="str">
        <x:v>Ambient</x:v>
      </x:c>
      <x:c r="F20" s="9" t="n">
        <x:v>585</x:v>
      </x:c>
      <x:c r="G20" s="9" t="n">
        <x:v>164</x:v>
      </x:c>
      <x:c r="H20" s="9" t="n">
        <x:f>F20-G20</x:f>
        <x:v>421</x:v>
      </x:c>
      <x:c r="I20" s="9" t="n">
        <x:v>148</x:v>
      </x:c>
      <x:c r="J20" s="9" t="n">
        <x:v>98</x:v>
      </x:c>
      <x:c r="K20" s="9" t="n">
        <x:v>308</x:v>
      </x:c>
      <x:c r="L20" s="9" t="n">
        <x:f>M20*30</x:f>
        <x:v>41.006493506493506</x:v>
      </x:c>
      <x:c r="M20" s="10" t="n">
        <x:f>IF(K20=0,0,H20/K20)</x:f>
        <x:v>1.3668831168831168</x:v>
      </x:c>
      <x:c r="N20" s="11" t="n">
        <x:v>7</x:v>
      </x:c>
      <x:c r="O20" t="str">
        <x:f>IF(L20&lt;N20,"Critical",IF(L20&lt;=60,"At Risk",IF(L20&lt;=120,"Tight","Adequate")))</x:f>
        <x:v>At Risk</x:v>
      </x:c>
      <x:c r="P20" s="12" t="str">
        <x:f>IF(O20="Critical","Escalate supply review and confirm allocation",IF(O20="At Risk","Prioritize available inventory and expedite inbound supply",IF(O20="Tight","Monitor demand and expedite purchase orders","Maintain planned replenishment")))</x:f>
        <x:v>Prioritize available inventory and expedite inbound supply</x:v>
      </x:c>
    </x:row>
    <x:row r="21">
      <x:c r="A21" s="8" t="str">
        <x:v>2026-06-14</x:v>
      </x:c>
      <x:c r="B21" t="str">
        <x:v>Regional Warehouse A</x:v>
      </x:c>
      <x:c r="C21" t="str">
        <x:v>RX-RARE-10</x:v>
      </x:c>
      <x:c r="D21" t="str">
        <x:v>Product Epsilon</x:v>
      </x:c>
      <x:c r="E21" t="str">
        <x:v>Refrigerated (2-8 C)</x:v>
      </x:c>
      <x:c r="F21" s="9" t="n">
        <x:v>774</x:v>
      </x:c>
      <x:c r="G21" s="9" t="n">
        <x:v>271</x:v>
      </x:c>
      <x:c r="H21" s="9" t="n">
        <x:f>F21-G21</x:f>
        <x:v>503</x:v>
      </x:c>
      <x:c r="I21" s="9" t="n">
        <x:v>0</x:v>
      </x:c>
      <x:c r="J21" s="9" t="n">
        <x:v>0</x:v>
      </x:c>
      <x:c r="K21" s="9" t="n">
        <x:v>344</x:v>
      </x:c>
      <x:c r="L21" s="9" t="n">
        <x:f>M21*30</x:f>
        <x:v>43.86627906976744</x:v>
      </x:c>
      <x:c r="M21" s="10" t="n">
        <x:f>IF(K21=0,0,H21/K21)</x:f>
        <x:v>1.4622093023255813</x:v>
      </x:c>
      <x:c r="N21" s="11" t="n">
        <x:v>45</x:v>
      </x:c>
      <x:c r="O21" t="str">
        <x:f>IF(L21&lt;N21,"Critical",IF(L21&lt;=60,"At Risk",IF(L21&lt;=120,"Tight","Adequate")))</x:f>
        <x:v>Critical</x:v>
      </x:c>
      <x:c r="P21" s="12" t="str">
        <x:f>IF(O21="Critical","Escalate supply review and confirm allocation",IF(O21="At Risk","Prioritize available inventory and expedite inbound supply",IF(O21="Tight","Monitor demand and expedite purchase orders","Maintain planned replenishment")))</x:f>
        <x:v>Escalate supply review and confirm allocation</x:v>
      </x:c>
    </x:row>
    <x:row r="22">
      <x:c r="A22" s="8" t="str">
        <x:v>2026-06-14</x:v>
      </x:c>
      <x:c r="B22" t="str">
        <x:v>Regional Warehouse A</x:v>
      </x:c>
      <x:c r="C22" t="str">
        <x:v>DX-COMP-01</x:v>
      </x:c>
      <x:c r="D22" t="str">
        <x:v>Product Zeta</x:v>
      </x:c>
      <x:c r="E22" t="str">
        <x:v>Ambient</x:v>
      </x:c>
      <x:c r="F22" s="9" t="n">
        <x:v>988</x:v>
      </x:c>
      <x:c r="G22" s="9" t="n">
        <x:v>0</x:v>
      </x:c>
      <x:c r="H22" s="9" t="n">
        <x:f>F22-G22</x:f>
        <x:v>988</x:v>
      </x:c>
      <x:c r="I22" s="9" t="n">
        <x:v>46</x:v>
      </x:c>
      <x:c r="J22" s="9" t="n">
        <x:v>30</x:v>
      </x:c>
      <x:c r="K22" s="9" t="n">
        <x:v>380</x:v>
      </x:c>
      <x:c r="L22" s="9" t="n">
        <x:f>M22*30</x:f>
        <x:v>78</x:v>
      </x:c>
      <x:c r="M22" s="10" t="n">
        <x:f>IF(K22=0,0,H22/K22)</x:f>
        <x:v>2.6</x:v>
      </x:c>
      <x:c r="N22" s="11" t="n">
        <x:v>10</x:v>
      </x:c>
      <x:c r="O22" t="str">
        <x:f>IF(L22&lt;N22,"Critical",IF(L22&lt;=60,"At Risk",IF(L22&lt;=120,"Tight","Adequate")))</x:f>
        <x:v>Tight</x:v>
      </x:c>
      <x:c r="P22" s="12" t="str">
        <x:f>IF(O22="Critical","Escalate supply review and confirm allocation",IF(O22="At Risk","Prioritize available inventory and expedite inbound supply",IF(O22="Tight","Monitor demand and expedite purchase orders","Maintain planned replenishment")))</x:f>
        <x:v>Monitor demand and expedite purchase orders</x:v>
      </x:c>
    </x:row>
    <x:row r="23">
      <x:c r="A23" s="8" t="str">
        <x:v>2026-06-14</x:v>
      </x:c>
      <x:c r="B23" t="str">
        <x:v>Regional Warehouse A</x:v>
      </x:c>
      <x:c r="C23" t="str">
        <x:v>RX-HOSP-20</x:v>
      </x:c>
      <x:c r="D23" t="str">
        <x:v>Product Eta</x:v>
      </x:c>
      <x:c r="E23" t="str">
        <x:v>Ambient</x:v>
      </x:c>
      <x:c r="F23" s="9" t="n">
        <x:v>1227</x:v>
      </x:c>
      <x:c r="G23" s="9" t="n">
        <x:v>86</x:v>
      </x:c>
      <x:c r="H23" s="9" t="n">
        <x:f>F23-G23</x:f>
        <x:v>1141</x:v>
      </x:c>
      <x:c r="I23" s="9" t="n">
        <x:v>100</x:v>
      </x:c>
      <x:c r="J23" s="9" t="n">
        <x:v>66</x:v>
      </x:c>
      <x:c r="K23" s="9" t="n">
        <x:v>416</x:v>
      </x:c>
      <x:c r="L23" s="9" t="n">
        <x:f>M23*30</x:f>
        <x:v>82.28365384615385</x:v>
      </x:c>
      <x:c r="M23" s="10" t="n">
        <x:f>IF(K23=0,0,H23/K23)</x:f>
        <x:v>2.7427884615384617</x:v>
      </x:c>
      <x:c r="N23" s="11" t="n">
        <x:v>14</x:v>
      </x:c>
      <x:c r="O23" t="str">
        <x:f>IF(L23&lt;N23,"Critical",IF(L23&lt;=60,"At Risk",IF(L23&lt;=120,"Tight","Adequate")))</x:f>
        <x:v>Tight</x:v>
      </x:c>
      <x:c r="P23" s="12" t="str">
        <x:f>IF(O23="Critical","Escalate supply review and confirm allocation",IF(O23="At Risk","Prioritize available inventory and expedite inbound supply",IF(O23="Tight","Monitor demand and expedite purchase orders","Maintain planned replenishment")))</x:f>
        <x:v>Monitor demand and expedite purchase orders</x:v>
      </x:c>
    </x:row>
    <x:row r="24">
      <x:c r="A24" s="8" t="str">
        <x:v>2026-06-14</x:v>
      </x:c>
      <x:c r="B24" t="str">
        <x:v>Regional Warehouse A</x:v>
      </x:c>
      <x:c r="C24" t="str">
        <x:v>BIO-DERM-80</x:v>
      </x:c>
      <x:c r="D24" t="str">
        <x:v>Product Theta</x:v>
      </x:c>
      <x:c r="E24" t="str">
        <x:v>Refrigerated (2-8 C)</x:v>
      </x:c>
      <x:c r="F24" s="9" t="n">
        <x:v>1492</x:v>
      </x:c>
      <x:c r="G24" s="9" t="n">
        <x:v>209</x:v>
      </x:c>
      <x:c r="H24" s="9" t="n">
        <x:f>F24-G24</x:f>
        <x:v>1283</x:v>
      </x:c>
      <x:c r="I24" s="9" t="n">
        <x:v>163</x:v>
      </x:c>
      <x:c r="J24" s="9" t="n">
        <x:v>108</x:v>
      </x:c>
      <x:c r="K24" s="9" t="n">
        <x:v>452</x:v>
      </x:c>
      <x:c r="L24" s="9" t="n">
        <x:f>M24*30</x:f>
        <x:v>85.15486725663717</x:v>
      </x:c>
      <x:c r="M24" s="10" t="n">
        <x:f>IF(K24=0,0,H24/K24)</x:f>
        <x:v>2.838495575221239</x:v>
      </x:c>
      <x:c r="N24" s="11" t="n">
        <x:v>16</x:v>
      </x:c>
      <x:c r="O24" t="str">
        <x:f>IF(L24&lt;N24,"Critical",IF(L24&lt;=60,"At Risk",IF(L24&lt;=120,"Tight","Adequate")))</x:f>
        <x:v>Tight</x:v>
      </x:c>
      <x:c r="P24" s="12" t="str">
        <x:f>IF(O24="Critical","Escalate supply review and confirm allocation",IF(O24="At Risk","Prioritize available inventory and expedite inbound supply",IF(O24="Tight","Monitor demand and expedite purchase orders","Maintain planned replenishment")))</x:f>
        <x:v>Monitor demand and expedite purchase orders</x:v>
      </x:c>
    </x:row>
    <x:row r="25">
      <x:c r="A25" s="8" t="str">
        <x:v>2026-06-14</x:v>
      </x:c>
      <x:c r="B25" t="str">
        <x:v>Regional Warehouse A</x:v>
      </x:c>
      <x:c r="C25" t="str">
        <x:v>RX-ONC-ORAL</x:v>
      </x:c>
      <x:c r="D25" t="str">
        <x:v>Product Iota</x:v>
      </x:c>
      <x:c r="E25" t="str">
        <x:v>Ambient</x:v>
      </x:c>
      <x:c r="F25" s="9" t="n">
        <x:v>244</x:v>
      </x:c>
      <x:c r="G25" s="9" t="n">
        <x:v>51</x:v>
      </x:c>
      <x:c r="H25" s="9" t="n">
        <x:f>F25-G25</x:f>
        <x:v>193</x:v>
      </x:c>
      <x:c r="I25" s="9" t="n">
        <x:v>234</x:v>
      </x:c>
      <x:c r="J25" s="9" t="n">
        <x:v>156</x:v>
      </x:c>
      <x:c r="K25" s="9" t="n">
        <x:v>488</x:v>
      </x:c>
      <x:c r="L25" s="9" t="n">
        <x:f>M25*30</x:f>
        <x:v>11.864754098360656</x:v>
      </x:c>
      <x:c r="M25" s="10" t="n">
        <x:f>IF(K25=0,0,H25/K25)</x:f>
        <x:v>0.39549180327868855</x:v>
      </x:c>
      <x:c r="N25" s="11" t="n">
        <x:v>12</x:v>
      </x:c>
      <x:c r="O25" t="str">
        <x:f>IF(L25&lt;N25,"Critical",IF(L25&lt;=60,"At Risk",IF(L25&lt;=120,"Tight","Adequate")))</x:f>
        <x:v>Critical</x:v>
      </x:c>
      <x:c r="P25" s="12" t="str">
        <x:f>IF(O25="Critical","Escalate supply review and confirm allocation",IF(O25="At Risk","Prioritize available inventory and expedite inbound supply",IF(O25="Tight","Monitor demand and expedite purchase orders","Maintain planned replenishment")))</x:f>
        <x:v>Escalate supply review and confirm allocation</x:v>
      </x:c>
    </x:row>
    <x:row r="26">
      <x:c r="A26" s="8" t="str">
        <x:v>2026-06-14</x:v>
      </x:c>
      <x:c r="B26" t="str">
        <x:v>Regional Warehouse A</x:v>
      </x:c>
      <x:c r="C26" t="str">
        <x:v>RX-RARE-INF</x:v>
      </x:c>
      <x:c r="D26" t="str">
        <x:v>Product Kappa</x:v>
      </x:c>
      <x:c r="E26" t="str">
        <x:v>Refrigerated (2-8 C)</x:v>
      </x:c>
      <x:c r="F26" s="9" t="n">
        <x:v>445</x:v>
      </x:c>
      <x:c r="G26" s="9" t="n">
        <x:v>125</x:v>
      </x:c>
      <x:c r="H26" s="9" t="n">
        <x:f>F26-G26</x:f>
        <x:v>320</x:v>
      </x:c>
      <x:c r="I26" s="9" t="n">
        <x:v>0</x:v>
      </x:c>
      <x:c r="J26" s="9" t="n">
        <x:v>0</x:v>
      </x:c>
      <x:c r="K26" s="9" t="n">
        <x:v>524</x:v>
      </x:c>
      <x:c r="L26" s="9" t="n">
        <x:f>M26*30</x:f>
        <x:v>18.320610687022903</x:v>
      </x:c>
      <x:c r="M26" s="10" t="n">
        <x:f>IF(K26=0,0,H26/K26)</x:f>
        <x:v>0.6106870229007634</x:v>
      </x:c>
      <x:c r="N26" s="11" t="n">
        <x:v>60</x:v>
      </x:c>
      <x:c r="O26" t="str">
        <x:f>IF(L26&lt;N26,"Critical",IF(L26&lt;=60,"At Risk",IF(L26&lt;=120,"Tight","Adequate")))</x:f>
        <x:v>Critical</x:v>
      </x:c>
      <x:c r="P26" s="12" t="str">
        <x:f>IF(O26="Critical","Escalate supply review and confirm allocation",IF(O26="At Risk","Prioritize available inventory and expedite inbound supply",IF(O26="Tight","Monitor demand and expedite purchase orders","Maintain planned replenishment")))</x:f>
        <x:v>Escalate supply review and confirm allocation</x:v>
      </x:c>
    </x:row>
    <x:row r="27">
      <x:c r="A27" s="8" t="str">
        <x:v>2026-06-14</x:v>
      </x:c>
      <x:c r="B27" t="str">
        <x:v>Regional Warehouse A</x:v>
      </x:c>
      <x:c r="C27" t="str">
        <x:v>DX-GENE-02</x:v>
      </x:c>
      <x:c r="D27" t="str">
        <x:v>Product Lambda</x:v>
      </x:c>
      <x:c r="E27" t="str">
        <x:v>Ambient</x:v>
      </x:c>
      <x:c r="F27" s="9" t="n">
        <x:v>672</x:v>
      </x:c>
      <x:c r="G27" s="9" t="n">
        <x:v>235</x:v>
      </x:c>
      <x:c r="H27" s="9" t="n">
        <x:f>F27-G27</x:f>
        <x:v>437</x:v>
      </x:c>
      <x:c r="I27" s="9" t="n">
        <x:v>67</x:v>
      </x:c>
      <x:c r="J27" s="9" t="n">
        <x:v>45</x:v>
      </x:c>
      <x:c r="K27" s="9" t="n">
        <x:v>560</x:v>
      </x:c>
      <x:c r="L27" s="9" t="n">
        <x:f>M27*30</x:f>
        <x:v>23.410714285714285</x:v>
      </x:c>
      <x:c r="M27" s="10" t="n">
        <x:f>IF(K27=0,0,H27/K27)</x:f>
        <x:v>0.7803571428571429</x:v>
      </x:c>
      <x:c r="N27" s="11" t="n">
        <x:v>12</x:v>
      </x:c>
      <x:c r="O27" t="str">
        <x:f>IF(L27&lt;N27,"Critical",IF(L27&lt;=60,"At Risk",IF(L27&lt;=120,"Tight","Adequate")))</x:f>
        <x:v>At Risk</x:v>
      </x:c>
      <x:c r="P27" s="12" t="str">
        <x:f>IF(O27="Critical","Escalate supply review and confirm allocation",IF(O27="At Risk","Prioritize available inventory and expedite inbound supply",IF(O27="Tight","Monitor demand and expedite purchase orders","Maintain planned replenishment")))</x:f>
        <x:v>Prioritize available inventory and expedite inbound supply</x:v>
      </x:c>
    </x:row>
    <x:row r="28">
      <x:c r="A28" s="8" t="str">
        <x:v>2026-06-14</x:v>
      </x:c>
      <x:c r="B28" t="str">
        <x:v>Regional Warehouse A</x:v>
      </x:c>
      <x:c r="C28" t="str">
        <x:v>SVC-PAT-01</x:v>
      </x:c>
      <x:c r="D28" t="str">
        <x:v>Product Mu</x:v>
      </x:c>
      <x:c r="E28" t="str">
        <x:v>Not Applicable</x:v>
      </x:c>
      <x:c r="F28" s="9" t="n">
        <x:v>924</x:v>
      </x:c>
      <x:c r="G28" s="9" t="n">
        <x:v>0</x:v>
      </x:c>
      <x:c r="H28" s="9" t="n">
        <x:f>F28-G28</x:f>
        <x:v>924</x:v>
      </x:c>
      <x:c r="I28" s="9" t="n">
        <x:v>143</x:v>
      </x:c>
      <x:c r="J28" s="9" t="n">
        <x:v>95</x:v>
      </x:c>
      <x:c r="K28" s="9" t="n">
        <x:v>596</x:v>
      </x:c>
      <x:c r="L28" s="9" t="n">
        <x:f>M28*30</x:f>
        <x:v>46.510067114093964</x:v>
      </x:c>
      <x:c r="M28" s="10" t="n">
        <x:f>IF(K28=0,0,H28/K28)</x:f>
        <x:v>1.5503355704697988</x:v>
      </x:c>
      <x:c r="N28" s="11" t="n">
        <x:v>14</x:v>
      </x:c>
      <x:c r="O28" t="str">
        <x:f>IF(L28&lt;N28,"Critical",IF(L28&lt;=60,"At Risk",IF(L28&lt;=120,"Tight","Adequate")))</x:f>
        <x:v>At Risk</x:v>
      </x:c>
      <x:c r="P28" s="12" t="str">
        <x:f>IF(O28="Critical","Escalate supply review and confirm allocation",IF(O28="At Risk","Prioritize available inventory and expedite inbound supply",IF(O28="Tight","Monitor demand and expedite purchase orders","Maintain planned replenishment")))</x:f>
        <x:v>Prioritize available inventory and expedite inbound supply</x:v>
      </x:c>
    </x:row>
    <x:row r="29">
      <x:c r="A29" s="8" t="str">
        <x:v>2026-06-14</x:v>
      </x:c>
      <x:c r="B29" t="str">
        <x:v>Central Warehouse B</x:v>
      </x:c>
      <x:c r="C29" t="str">
        <x:v>RX-ONC-100</x:v>
      </x:c>
      <x:c r="D29" t="str">
        <x:v>Product Alpha</x:v>
      </x:c>
      <x:c r="E29" t="str">
        <x:v>Refrigerated (2-8 C)</x:v>
      </x:c>
      <x:c r="F29" s="9" t="n">
        <x:v>294</x:v>
      </x:c>
      <x:c r="G29" s="9" t="n">
        <x:v>41</x:v>
      </x:c>
      <x:c r="H29" s="9" t="n">
        <x:f>F29-G29</x:f>
        <x:v>253</x:v>
      </x:c>
      <x:c r="I29" s="9" t="n">
        <x:v>59</x:v>
      </x:c>
      <x:c r="J29" s="9" t="n">
        <x:v>39</x:v>
      </x:c>
      <x:c r="K29" s="9" t="n">
        <x:v>245</x:v>
      </x:c>
      <x:c r="L29" s="9" t="n">
        <x:f>M29*30</x:f>
        <x:v>30.97959183673469</x:v>
      </x:c>
      <x:c r="M29" s="10" t="n">
        <x:f>IF(K29=0,0,H29/K29)</x:f>
        <x:v>1.0326530612244897</x:v>
      </x:c>
      <x:c r="N29" s="11" t="n">
        <x:v>21</x:v>
      </x:c>
      <x:c r="O29" t="str">
        <x:f>IF(L29&lt;N29,"Critical",IF(L29&lt;=60,"At Risk",IF(L29&lt;=120,"Tight","Adequate")))</x:f>
        <x:v>At Risk</x:v>
      </x:c>
      <x:c r="P29" s="12" t="str">
        <x:f>IF(O29="Critical","Escalate supply review and confirm allocation",IF(O29="At Risk","Prioritize available inventory and expedite inbound supply",IF(O29="Tight","Monitor demand and expedite purchase orders","Maintain planned replenishment")))</x:f>
        <x:v>Prioritize available inventory and expedite inbound supply</x:v>
      </x:c>
    </x:row>
    <x:row r="30">
      <x:c r="A30" s="8" t="str">
        <x:v>2026-06-14</x:v>
      </x:c>
      <x:c r="B30" t="str">
        <x:v>Central Warehouse B</x:v>
      </x:c>
      <x:c r="C30" t="str">
        <x:v>RX-ONC-500</x:v>
      </x:c>
      <x:c r="D30" t="str">
        <x:v>Product Beta</x:v>
      </x:c>
      <x:c r="E30" t="str">
        <x:v>Refrigerated (2-8 C)</x:v>
      </x:c>
      <x:c r="F30" s="9" t="n">
        <x:v>449</x:v>
      </x:c>
      <x:c r="G30" s="9" t="n">
        <x:v>94</x:v>
      </x:c>
      <x:c r="H30" s="9" t="n">
        <x:f>F30-G30</x:f>
        <x:v>355</x:v>
      </x:c>
      <x:c r="I30" s="9" t="n">
        <x:v>104</x:v>
      </x:c>
      <x:c r="J30" s="9" t="n">
        <x:v>70</x:v>
      </x:c>
      <x:c r="K30" s="9" t="n">
        <x:v>290</x:v>
      </x:c>
      <x:c r="L30" s="9" t="n">
        <x:f>M30*30</x:f>
        <x:v>36.72413793103448</x:v>
      </x:c>
      <x:c r="M30" s="10" t="n">
        <x:f>IF(K30=0,0,H30/K30)</x:f>
        <x:v>1.2241379310344827</x:v>
      </x:c>
      <x:c r="N30" s="11" t="n">
        <x:v>28</x:v>
      </x:c>
      <x:c r="O30" t="str">
        <x:f>IF(L30&lt;N30,"Critical",IF(L30&lt;=60,"At Risk",IF(L30&lt;=120,"Tight","Adequate")))</x:f>
        <x:v>At Risk</x:v>
      </x:c>
      <x:c r="P30" s="12" t="str">
        <x:f>IF(O30="Critical","Escalate supply review and confirm allocation",IF(O30="At Risk","Prioritize available inventory and expedite inbound supply",IF(O30="Tight","Monitor demand and expedite purchase orders","Maintain planned replenishment")))</x:f>
        <x:v>Prioritize available inventory and expedite inbound supply</x:v>
      </x:c>
    </x:row>
    <x:row r="31">
      <x:c r="A31" s="8" t="str">
        <x:v>2026-06-14</x:v>
      </x:c>
      <x:c r="B31" t="str">
        <x:v>Central Warehouse B</x:v>
      </x:c>
      <x:c r="C31" t="str">
        <x:v>BIO-RA-200</x:v>
      </x:c>
      <x:c r="D31" t="str">
        <x:v>Product Gamma</x:v>
      </x:c>
      <x:c r="E31" t="str">
        <x:v>Refrigerated (2-8 C)</x:v>
      </x:c>
      <x:c r="F31" s="9" t="n">
        <x:v>637</x:v>
      </x:c>
      <x:c r="G31" s="9" t="n">
        <x:v>178</x:v>
      </x:c>
      <x:c r="H31" s="9" t="n">
        <x:f>F31-G31</x:f>
        <x:v>459</x:v>
      </x:c>
      <x:c r="I31" s="9" t="n">
        <x:v>161</x:v>
      </x:c>
      <x:c r="J31" s="9" t="n">
        <x:v>107</x:v>
      </x:c>
      <x:c r="K31" s="9" t="n">
        <x:v>335</x:v>
      </x:c>
      <x:c r="L31" s="9" t="n">
        <x:f>M31*30</x:f>
        <x:v>41.1044776119403</x:v>
      </x:c>
      <x:c r="M31" s="10" t="n">
        <x:f>IF(K31=0,0,H31/K31)</x:f>
        <x:v>1.3701492537313433</x:v>
      </x:c>
      <x:c r="N31" s="11" t="n">
        <x:v>18</x:v>
      </x:c>
      <x:c r="O31" t="str">
        <x:f>IF(L31&lt;N31,"Critical",IF(L31&lt;=60,"At Risk",IF(L31&lt;=120,"Tight","Adequate")))</x:f>
        <x:v>At Risk</x:v>
      </x:c>
      <x:c r="P31" s="12" t="str">
        <x:f>IF(O31="Critical","Escalate supply review and confirm allocation",IF(O31="At Risk","Prioritize available inventory and expedite inbound supply",IF(O31="Tight","Monitor demand and expedite purchase orders","Maintain planned replenishment")))</x:f>
        <x:v>Prioritize available inventory and expedite inbound supply</x:v>
      </x:c>
    </x:row>
    <x:row r="32">
      <x:c r="A32" s="8" t="str">
        <x:v>2026-06-14</x:v>
      </x:c>
      <x:c r="B32" t="str">
        <x:v>Central Warehouse B</x:v>
      </x:c>
      <x:c r="C32" t="str">
        <x:v>RX-CARD-50</x:v>
      </x:c>
      <x:c r="D32" t="str">
        <x:v>Product Delta</x:v>
      </x:c>
      <x:c r="E32" t="str">
        <x:v>Ambient</x:v>
      </x:c>
      <x:c r="F32" s="9" t="n">
        <x:v>855</x:v>
      </x:c>
      <x:c r="G32" s="9" t="n">
        <x:v>299</x:v>
      </x:c>
      <x:c r="H32" s="9" t="n">
        <x:f>F32-G32</x:f>
        <x:v>556</x:v>
      </x:c>
      <x:c r="I32" s="9" t="n">
        <x:v>0</x:v>
      </x:c>
      <x:c r="J32" s="9" t="n">
        <x:v>0</x:v>
      </x:c>
      <x:c r="K32" s="9" t="n">
        <x:v>380</x:v>
      </x:c>
      <x:c r="L32" s="9" t="n">
        <x:f>M32*30</x:f>
        <x:v>43.89473684210527</x:v>
      </x:c>
      <x:c r="M32" s="10" t="n">
        <x:f>IF(K32=0,0,H32/K32)</x:f>
        <x:v>1.4631578947368422</x:v>
      </x:c>
      <x:c r="N32" s="11" t="n">
        <x:v>7</x:v>
      </x:c>
      <x:c r="O32" t="str">
        <x:f>IF(L32&lt;N32,"Critical",IF(L32&lt;=60,"At Risk",IF(L32&lt;=120,"Tight","Adequate")))</x:f>
        <x:v>At Risk</x:v>
      </x:c>
      <x:c r="P32" s="12" t="str">
        <x:f>IF(O32="Critical","Escalate supply review and confirm allocation",IF(O32="At Risk","Prioritize available inventory and expedite inbound supply",IF(O32="Tight","Monitor demand and expedite purchase orders","Maintain planned replenishment")))</x:f>
        <x:v>Prioritize available inventory and expedite inbound supply</x:v>
      </x:c>
    </x:row>
    <x:row r="33">
      <x:c r="A33" s="8" t="str">
        <x:v>2026-06-14</x:v>
      </x:c>
      <x:c r="B33" t="str">
        <x:v>Central Warehouse B</x:v>
      </x:c>
      <x:c r="C33" t="str">
        <x:v>RX-RARE-10</x:v>
      </x:c>
      <x:c r="D33" t="str">
        <x:v>Product Epsilon</x:v>
      </x:c>
      <x:c r="E33" t="str">
        <x:v>Refrigerated (2-8 C)</x:v>
      </x:c>
      <x:c r="F33" s="9" t="n">
        <x:v>1105</x:v>
      </x:c>
      <x:c r="G33" s="9" t="n">
        <x:v>0</x:v>
      </x:c>
      <x:c r="H33" s="9" t="n">
        <x:f>F33-G33</x:f>
        <x:v>1105</x:v>
      </x:c>
      <x:c r="I33" s="9" t="n">
        <x:v>51</x:v>
      </x:c>
      <x:c r="J33" s="9" t="n">
        <x:v>34</x:v>
      </x:c>
      <x:c r="K33" s="9" t="n">
        <x:v>425</x:v>
      </x:c>
      <x:c r="L33" s="9" t="n">
        <x:f>M33*30</x:f>
        <x:v>78</x:v>
      </x:c>
      <x:c r="M33" s="10" t="n">
        <x:f>IF(K33=0,0,H33/K33)</x:f>
        <x:v>2.6</x:v>
      </x:c>
      <x:c r="N33" s="11" t="n">
        <x:v>45</x:v>
      </x:c>
      <x:c r="O33" t="str">
        <x:f>IF(L33&lt;N33,"Critical",IF(L33&lt;=60,"At Risk",IF(L33&lt;=120,"Tight","Adequate")))</x:f>
        <x:v>Tight</x:v>
      </x:c>
      <x:c r="P33" s="12" t="str">
        <x:f>IF(O33="Critical","Escalate supply review and confirm allocation",IF(O33="At Risk","Prioritize available inventory and expedite inbound supply",IF(O33="Tight","Monitor demand and expedite purchase orders","Maintain planned replenishment")))</x:f>
        <x:v>Monitor demand and expedite purchase orders</x:v>
      </x:c>
    </x:row>
    <x:row r="34">
      <x:c r="A34" s="8" t="str">
        <x:v>2026-06-14</x:v>
      </x:c>
      <x:c r="B34" t="str">
        <x:v>Central Warehouse B</x:v>
      </x:c>
      <x:c r="C34" t="str">
        <x:v>DX-COMP-01</x:v>
      </x:c>
      <x:c r="D34" t="str">
        <x:v>Product Zeta</x:v>
      </x:c>
      <x:c r="E34" t="str">
        <x:v>Ambient</x:v>
      </x:c>
      <x:c r="F34" s="9" t="n">
        <x:v>1386</x:v>
      </x:c>
      <x:c r="G34" s="9" t="n">
        <x:v>97</x:v>
      </x:c>
      <x:c r="H34" s="9" t="n">
        <x:f>F34-G34</x:f>
        <x:v>1289</x:v>
      </x:c>
      <x:c r="I34" s="9" t="n">
        <x:v>113</x:v>
      </x:c>
      <x:c r="J34" s="9" t="n">
        <x:v>75</x:v>
      </x:c>
      <x:c r="K34" s="9" t="n">
        <x:v>470</x:v>
      </x:c>
      <x:c r="L34" s="9" t="n">
        <x:f>M34*30</x:f>
        <x:v>82.27659574468085</x:v>
      </x:c>
      <x:c r="M34" s="10" t="n">
        <x:f>IF(K34=0,0,H34/K34)</x:f>
        <x:v>2.7425531914893617</x:v>
      </x:c>
      <x:c r="N34" s="11" t="n">
        <x:v>10</x:v>
      </x:c>
      <x:c r="O34" t="str">
        <x:f>IF(L34&lt;N34,"Critical",IF(L34&lt;=60,"At Risk",IF(L34&lt;=120,"Tight","Adequate")))</x:f>
        <x:v>Tight</x:v>
      </x:c>
      <x:c r="P34" s="12" t="str">
        <x:f>IF(O34="Critical","Escalate supply review and confirm allocation",IF(O34="At Risk","Prioritize available inventory and expedite inbound supply",IF(O34="Tight","Monitor demand and expedite purchase orders","Maintain planned replenishment")))</x:f>
        <x:v>Monitor demand and expedite purchase orders</x:v>
      </x:c>
    </x:row>
    <x:row r="35">
      <x:c r="A35" s="8" t="str">
        <x:v>2026-06-14</x:v>
      </x:c>
      <x:c r="B35" t="str">
        <x:v>Central Warehouse B</x:v>
      </x:c>
      <x:c r="C35" t="str">
        <x:v>RX-HOSP-20</x:v>
      </x:c>
      <x:c r="D35" t="str">
        <x:v>Product Eta</x:v>
      </x:c>
      <x:c r="E35" t="str">
        <x:v>Ambient</x:v>
      </x:c>
      <x:c r="F35" s="9" t="n">
        <x:v>1700</x:v>
      </x:c>
      <x:c r="G35" s="9" t="n">
        <x:v>238</x:v>
      </x:c>
      <x:c r="H35" s="9" t="n">
        <x:f>F35-G35</x:f>
        <x:v>1462</x:v>
      </x:c>
      <x:c r="I35" s="9" t="n">
        <x:v>185</x:v>
      </x:c>
      <x:c r="J35" s="9" t="n">
        <x:v>124</x:v>
      </x:c>
      <x:c r="K35" s="9" t="n">
        <x:v>515</x:v>
      </x:c>
      <x:c r="L35" s="9" t="n">
        <x:f>M35*30</x:f>
        <x:v>85.16504854368931</x:v>
      </x:c>
      <x:c r="M35" s="10" t="n">
        <x:f>IF(K35=0,0,H35/K35)</x:f>
        <x:v>2.8388349514563105</x:v>
      </x:c>
      <x:c r="N35" s="11" t="n">
        <x:v>14</x:v>
      </x:c>
      <x:c r="O35" t="str">
        <x:f>IF(L35&lt;N35,"Critical",IF(L35&lt;=60,"At Risk",IF(L35&lt;=120,"Tight","Adequate")))</x:f>
        <x:v>Tight</x:v>
      </x:c>
      <x:c r="P35" s="12" t="str">
        <x:f>IF(O35="Critical","Escalate supply review and confirm allocation",IF(O35="At Risk","Prioritize available inventory and expedite inbound supply",IF(O35="Tight","Monitor demand and expedite purchase orders","Maintain planned replenishment")))</x:f>
        <x:v>Monitor demand and expedite purchase orders</x:v>
      </x:c>
    </x:row>
    <x:row r="36">
      <x:c r="A36" s="8" t="str">
        <x:v>2026-06-14</x:v>
      </x:c>
      <x:c r="B36" t="str">
        <x:v>Central Warehouse B</x:v>
      </x:c>
      <x:c r="C36" t="str">
        <x:v>BIO-DERM-80</x:v>
      </x:c>
      <x:c r="D36" t="str">
        <x:v>Product Theta</x:v>
      </x:c>
      <x:c r="E36" t="str">
        <x:v>Refrigerated (2-8 C)</x:v>
      </x:c>
      <x:c r="F36" s="9" t="n">
        <x:v>280</x:v>
      </x:c>
      <x:c r="G36" s="9" t="n">
        <x:v>59</x:v>
      </x:c>
      <x:c r="H36" s="9" t="n">
        <x:f>F36-G36</x:f>
        <x:v>221</x:v>
      </x:c>
      <x:c r="I36" s="9" t="n">
        <x:v>269</x:v>
      </x:c>
      <x:c r="J36" s="9" t="n">
        <x:v>179</x:v>
      </x:c>
      <x:c r="K36" s="9" t="n">
        <x:v>560</x:v>
      </x:c>
      <x:c r="L36" s="9" t="n">
        <x:f>M36*30</x:f>
        <x:v>11.839285714285714</x:v>
      </x:c>
      <x:c r="M36" s="10" t="n">
        <x:f>IF(K36=0,0,H36/K36)</x:f>
        <x:v>0.39464285714285713</x:v>
      </x:c>
      <x:c r="N36" s="11" t="n">
        <x:v>16</x:v>
      </x:c>
      <x:c r="O36" t="str">
        <x:f>IF(L36&lt;N36,"Critical",IF(L36&lt;=60,"At Risk",IF(L36&lt;=120,"Tight","Adequate")))</x:f>
        <x:v>Critical</x:v>
      </x:c>
      <x:c r="P36" s="12" t="str">
        <x:f>IF(O36="Critical","Escalate supply review and confirm allocation",IF(O36="At Risk","Prioritize available inventory and expedite inbound supply",IF(O36="Tight","Monitor demand and expedite purchase orders","Maintain planned replenishment")))</x:f>
        <x:v>Escalate supply review and confirm allocation</x:v>
      </x:c>
    </x:row>
    <x:row r="37">
      <x:c r="A37" s="8" t="str">
        <x:v>2026-06-14</x:v>
      </x:c>
      <x:c r="B37" t="str">
        <x:v>Central Warehouse B</x:v>
      </x:c>
      <x:c r="C37" t="str">
        <x:v>RX-ONC-ORAL</x:v>
      </x:c>
      <x:c r="D37" t="str">
        <x:v>Product Iota</x:v>
      </x:c>
      <x:c r="E37" t="str">
        <x:v>Ambient</x:v>
      </x:c>
      <x:c r="F37" s="9" t="n">
        <x:v>514</x:v>
      </x:c>
      <x:c r="G37" s="9" t="n">
        <x:v>144</x:v>
      </x:c>
      <x:c r="H37" s="9" t="n">
        <x:f>F37-G37</x:f>
        <x:v>370</x:v>
      </x:c>
      <x:c r="I37" s="9" t="n">
        <x:v>0</x:v>
      </x:c>
      <x:c r="J37" s="9" t="n">
        <x:v>0</x:v>
      </x:c>
      <x:c r="K37" s="9" t="n">
        <x:v>605</x:v>
      </x:c>
      <x:c r="L37" s="9" t="n">
        <x:f>M37*30</x:f>
        <x:v>18.34710743801653</x:v>
      </x:c>
      <x:c r="M37" s="10" t="n">
        <x:f>IF(K37=0,0,H37/K37)</x:f>
        <x:v>0.6115702479338843</x:v>
      </x:c>
      <x:c r="N37" s="11" t="n">
        <x:v>12</x:v>
      </x:c>
      <x:c r="O37" t="str">
        <x:f>IF(L37&lt;N37,"Critical",IF(L37&lt;=60,"At Risk",IF(L37&lt;=120,"Tight","Adequate")))</x:f>
        <x:v>At Risk</x:v>
      </x:c>
      <x:c r="P37" s="12" t="str">
        <x:f>IF(O37="Critical","Escalate supply review and confirm allocation",IF(O37="At Risk","Prioritize available inventory and expedite inbound supply",IF(O37="Tight","Monitor demand and expedite purchase orders","Maintain planned replenishment")))</x:f>
        <x:v>Prioritize available inventory and expedite inbound supply</x:v>
      </x:c>
    </x:row>
    <x:row r="38">
      <x:c r="A38" s="8" t="str">
        <x:v>2026-06-14</x:v>
      </x:c>
      <x:c r="B38" t="str">
        <x:v>Central Warehouse B</x:v>
      </x:c>
      <x:c r="C38" t="str">
        <x:v>RX-RARE-INF</x:v>
      </x:c>
      <x:c r="D38" t="str">
        <x:v>Product Kappa</x:v>
      </x:c>
      <x:c r="E38" t="str">
        <x:v>Refrigerated (2-8 C)</x:v>
      </x:c>
      <x:c r="F38" s="9" t="n">
        <x:v>780</x:v>
      </x:c>
      <x:c r="G38" s="9" t="n">
        <x:v>273</x:v>
      </x:c>
      <x:c r="H38" s="9" t="n">
        <x:f>F38-G38</x:f>
        <x:v>507</x:v>
      </x:c>
      <x:c r="I38" s="9" t="n">
        <x:v>78</x:v>
      </x:c>
      <x:c r="J38" s="9" t="n">
        <x:v>52</x:v>
      </x:c>
      <x:c r="K38" s="9" t="n">
        <x:v>650</x:v>
      </x:c>
      <x:c r="L38" s="9" t="n">
        <x:f>M38*30</x:f>
        <x:v>23.400000000000002</x:v>
      </x:c>
      <x:c r="M38" s="10" t="n">
        <x:f>IF(K38=0,0,H38/K38)</x:f>
        <x:v>0.78</x:v>
      </x:c>
      <x:c r="N38" s="11" t="n">
        <x:v>60</x:v>
      </x:c>
      <x:c r="O38" t="str">
        <x:f>IF(L38&lt;N38,"Critical",IF(L38&lt;=60,"At Risk",IF(L38&lt;=120,"Tight","Adequate")))</x:f>
        <x:v>Critical</x:v>
      </x:c>
      <x:c r="P38" s="12" t="str">
        <x:f>IF(O38="Critical","Escalate supply review and confirm allocation",IF(O38="At Risk","Prioritize available inventory and expedite inbound supply",IF(O38="Tight","Monitor demand and expedite purchase orders","Maintain planned replenishment")))</x:f>
        <x:v>Escalate supply review and confirm allocation</x:v>
      </x:c>
    </x:row>
    <x:row r="39">
      <x:c r="A39" s="8" t="str">
        <x:v>2026-06-14</x:v>
      </x:c>
      <x:c r="B39" t="str">
        <x:v>Central Warehouse B</x:v>
      </x:c>
      <x:c r="C39" t="str">
        <x:v>DX-GENE-02</x:v>
      </x:c>
      <x:c r="D39" t="str">
        <x:v>Product Lambda</x:v>
      </x:c>
      <x:c r="E39" t="str">
        <x:v>Ambient</x:v>
      </x:c>
      <x:c r="F39" s="9" t="n">
        <x:v>1077</x:v>
      </x:c>
      <x:c r="G39" s="9" t="n">
        <x:v>0</x:v>
      </x:c>
      <x:c r="H39" s="9" t="n">
        <x:f>F39-G39</x:f>
        <x:v>1077</x:v>
      </x:c>
      <x:c r="I39" s="9" t="n">
        <x:v>167</x:v>
      </x:c>
      <x:c r="J39" s="9" t="n">
        <x:v>111</x:v>
      </x:c>
      <x:c r="K39" s="9" t="n">
        <x:v>695</x:v>
      </x:c>
      <x:c r="L39" s="9" t="n">
        <x:f>M39*30</x:f>
        <x:v>46.489208633093526</x:v>
      </x:c>
      <x:c r="M39" s="10" t="n">
        <x:f>IF(K39=0,0,H39/K39)</x:f>
        <x:v>1.5496402877697841</x:v>
      </x:c>
      <x:c r="N39" s="11" t="n">
        <x:v>12</x:v>
      </x:c>
      <x:c r="O39" t="str">
        <x:f>IF(L39&lt;N39,"Critical",IF(L39&lt;=60,"At Risk",IF(L39&lt;=120,"Tight","Adequate")))</x:f>
        <x:v>At Risk</x:v>
      </x:c>
      <x:c r="P39" s="12" t="str">
        <x:f>IF(O39="Critical","Escalate supply review and confirm allocation",IF(O39="At Risk","Prioritize available inventory and expedite inbound supply",IF(O39="Tight","Monitor demand and expedite purchase orders","Maintain planned replenishment")))</x:f>
        <x:v>Prioritize available inventory and expedite inbound supply</x:v>
      </x:c>
    </x:row>
    <x:row r="40">
      <x:c r="A40" s="8" t="str">
        <x:v>2026-06-14</x:v>
      </x:c>
      <x:c r="B40" t="str">
        <x:v>Central Warehouse B</x:v>
      </x:c>
      <x:c r="C40" t="str">
        <x:v>SVC-PAT-01</x:v>
      </x:c>
      <x:c r="D40" t="str">
        <x:v>Product Mu</x:v>
      </x:c>
      <x:c r="E40" t="str">
        <x:v>Not Applicable</x:v>
      </x:c>
      <x:c r="F40" s="9" t="n">
        <x:v>1406</x:v>
      </x:c>
      <x:c r="G40" s="9" t="n">
        <x:v>98</x:v>
      </x:c>
      <x:c r="H40" s="9" t="n">
        <x:f>F40-G40</x:f>
        <x:v>1308</x:v>
      </x:c>
      <x:c r="I40" s="9" t="n">
        <x:v>266</x:v>
      </x:c>
      <x:c r="J40" s="9" t="n">
        <x:v>178</x:v>
      </x:c>
      <x:c r="K40" s="9" t="n">
        <x:v>740</x:v>
      </x:c>
      <x:c r="L40" s="9" t="n">
        <x:f>M40*30</x:f>
        <x:v>53.027027027027025</x:v>
      </x:c>
      <x:c r="M40" s="10" t="n">
        <x:f>IF(K40=0,0,H40/K40)</x:f>
        <x:v>1.7675675675675675</x:v>
      </x:c>
      <x:c r="N40" s="11" t="n">
        <x:v>14</x:v>
      </x:c>
      <x:c r="O40" t="str">
        <x:f>IF(L40&lt;N40,"Critical",IF(L40&lt;=60,"At Risk",IF(L40&lt;=120,"Tight","Adequate")))</x:f>
        <x:v>At Risk</x:v>
      </x:c>
      <x:c r="P40" s="12" t="str">
        <x:f>IF(O40="Critical","Escalate supply review and confirm allocation",IF(O40="At Risk","Prioritize available inventory and expedite inbound supply",IF(O40="Tight","Monitor demand and expedite purchase orders","Maintain planned replenishment")))</x:f>
        <x:v>Prioritize available inventory and expedite inbound supply</x:v>
      </x:c>
    </x:row>
    <x:row r="41">
      <x:c r="A41" s="8" t="str">
        <x:v>2026-06-14</x:v>
      </x:c>
      <x:c r="B41" t="str">
        <x:v>Regional Warehouse B</x:v>
      </x:c>
      <x:c r="C41" t="str">
        <x:v>RX-ONC-100</x:v>
      </x:c>
      <x:c r="D41" t="str">
        <x:v>Product Alpha</x:v>
      </x:c>
      <x:c r="E41" t="str">
        <x:v>Refrigerated (2-8 C)</x:v>
      </x:c>
      <x:c r="F41" s="9" t="n">
        <x:v>449</x:v>
      </x:c>
      <x:c r="G41" s="9" t="n">
        <x:v>94</x:v>
      </x:c>
      <x:c r="H41" s="9" t="n">
        <x:f>F41-G41</x:f>
        <x:v>355</x:v>
      </x:c>
      <x:c r="I41" s="9" t="n">
        <x:v>104</x:v>
      </x:c>
      <x:c r="J41" s="9" t="n">
        <x:v>70</x:v>
      </x:c>
      <x:c r="K41" s="9" t="n">
        <x:v>290</x:v>
      </x:c>
      <x:c r="L41" s="9" t="n">
        <x:f>M41*30</x:f>
        <x:v>36.72413793103448</x:v>
      </x:c>
      <x:c r="M41" s="10" t="n">
        <x:f>IF(K41=0,0,H41/K41)</x:f>
        <x:v>1.2241379310344827</x:v>
      </x:c>
      <x:c r="N41" s="11" t="n">
        <x:v>21</x:v>
      </x:c>
      <x:c r="O41" t="str">
        <x:f>IF(L41&lt;N41,"Critical",IF(L41&lt;=60,"At Risk",IF(L41&lt;=120,"Tight","Adequate")))</x:f>
        <x:v>At Risk</x:v>
      </x:c>
      <x:c r="P41" s="12" t="str">
        <x:f>IF(O41="Critical","Escalate supply review and confirm allocation",IF(O41="At Risk","Prioritize available inventory and expedite inbound supply",IF(O41="Tight","Monitor demand and expedite purchase orders","Maintain planned replenishment")))</x:f>
        <x:v>Prioritize available inventory and expedite inbound supply</x:v>
      </x:c>
    </x:row>
    <x:row r="42">
      <x:c r="A42" s="8" t="str">
        <x:v>2026-06-14</x:v>
      </x:c>
      <x:c r="B42" t="str">
        <x:v>Regional Warehouse B</x:v>
      </x:c>
      <x:c r="C42" t="str">
        <x:v>RX-ONC-500</x:v>
      </x:c>
      <x:c r="D42" t="str">
        <x:v>Product Beta</x:v>
      </x:c>
      <x:c r="E42" t="str">
        <x:v>Refrigerated (2-8 C)</x:v>
      </x:c>
      <x:c r="F42" s="9" t="n">
        <x:v>654</x:v>
      </x:c>
      <x:c r="G42" s="9" t="n">
        <x:v>183</x:v>
      </x:c>
      <x:c r="H42" s="9" t="n">
        <x:f>F42-G42</x:f>
        <x:v>471</x:v>
      </x:c>
      <x:c r="I42" s="9" t="n">
        <x:v>165</x:v>
      </x:c>
      <x:c r="J42" s="9" t="n">
        <x:v>110</x:v>
      </x:c>
      <x:c r="K42" s="9" t="n">
        <x:v>344</x:v>
      </x:c>
      <x:c r="L42" s="9" t="n">
        <x:f>M42*30</x:f>
        <x:v>41.075581395348834</x:v>
      </x:c>
      <x:c r="M42" s="10" t="n">
        <x:f>IF(K42=0,0,H42/K42)</x:f>
        <x:v>1.369186046511628</x:v>
      </x:c>
      <x:c r="N42" s="11" t="n">
        <x:v>28</x:v>
      </x:c>
      <x:c r="O42" t="str">
        <x:f>IF(L42&lt;N42,"Critical",IF(L42&lt;=60,"At Risk",IF(L42&lt;=120,"Tight","Adequate")))</x:f>
        <x:v>At Risk</x:v>
      </x:c>
      <x:c r="P42" s="12" t="str">
        <x:f>IF(O42="Critical","Escalate supply review and confirm allocation",IF(O42="At Risk","Prioritize available inventory and expedite inbound supply",IF(O42="Tight","Monitor demand and expedite purchase orders","Maintain planned replenishment")))</x:f>
        <x:v>Prioritize available inventory and expedite inbound supply</x:v>
      </x:c>
    </x:row>
    <x:row r="43">
      <x:c r="A43" s="8" t="str">
        <x:v>2026-06-14</x:v>
      </x:c>
      <x:c r="B43" t="str">
        <x:v>Regional Warehouse B</x:v>
      </x:c>
      <x:c r="C43" t="str">
        <x:v>BIO-RA-200</x:v>
      </x:c>
      <x:c r="D43" t="str">
        <x:v>Product Gamma</x:v>
      </x:c>
      <x:c r="E43" t="str">
        <x:v>Refrigerated (2-8 C)</x:v>
      </x:c>
      <x:c r="F43" s="9" t="n">
        <x:v>896</x:v>
      </x:c>
      <x:c r="G43" s="9" t="n">
        <x:v>314</x:v>
      </x:c>
      <x:c r="H43" s="9" t="n">
        <x:f>F43-G43</x:f>
        <x:v>582</x:v>
      </x:c>
      <x:c r="I43" s="9" t="n">
        <x:v>0</x:v>
      </x:c>
      <x:c r="J43" s="9" t="n">
        <x:v>0</x:v>
      </x:c>
      <x:c r="K43" s="9" t="n">
        <x:v>398</x:v>
      </x:c>
      <x:c r="L43" s="9" t="n">
        <x:f>M43*30</x:f>
        <x:v>43.869346733668344</x:v>
      </x:c>
      <x:c r="M43" s="10" t="n">
        <x:f>IF(K43=0,0,H43/K43)</x:f>
        <x:v>1.4623115577889447</x:v>
      </x:c>
      <x:c r="N43" s="11" t="n">
        <x:v>18</x:v>
      </x:c>
      <x:c r="O43" t="str">
        <x:f>IF(L43&lt;N43,"Critical",IF(L43&lt;=60,"At Risk",IF(L43&lt;=120,"Tight","Adequate")))</x:f>
        <x:v>At Risk</x:v>
      </x:c>
      <x:c r="P43" s="12" t="str">
        <x:f>IF(O43="Critical","Escalate supply review and confirm allocation",IF(O43="At Risk","Prioritize available inventory and expedite inbound supply",IF(O43="Tight","Monitor demand and expedite purchase orders","Maintain planned replenishment")))</x:f>
        <x:v>Prioritize available inventory and expedite inbound supply</x:v>
      </x:c>
    </x:row>
    <x:row r="44">
      <x:c r="A44" s="8" t="str">
        <x:v>2026-06-14</x:v>
      </x:c>
      <x:c r="B44" t="str">
        <x:v>Regional Warehouse B</x:v>
      </x:c>
      <x:c r="C44" t="str">
        <x:v>RX-CARD-50</x:v>
      </x:c>
      <x:c r="D44" t="str">
        <x:v>Product Delta</x:v>
      </x:c>
      <x:c r="E44" t="str">
        <x:v>Ambient</x:v>
      </x:c>
      <x:c r="F44" s="9" t="n">
        <x:v>1175</x:v>
      </x:c>
      <x:c r="G44" s="9" t="n">
        <x:v>0</x:v>
      </x:c>
      <x:c r="H44" s="9" t="n">
        <x:f>F44-G44</x:f>
        <x:v>1175</x:v>
      </x:c>
      <x:c r="I44" s="9" t="n">
        <x:v>54</x:v>
      </x:c>
      <x:c r="J44" s="9" t="n">
        <x:v>36</x:v>
      </x:c>
      <x:c r="K44" s="9" t="n">
        <x:v>452</x:v>
      </x:c>
      <x:c r="L44" s="9" t="n">
        <x:f>M44*30</x:f>
        <x:v>77.98672566371681</x:v>
      </x:c>
      <x:c r="M44" s="10" t="n">
        <x:f>IF(K44=0,0,H44/K44)</x:f>
        <x:v>2.599557522123894</x:v>
      </x:c>
      <x:c r="N44" s="11" t="n">
        <x:v>7</x:v>
      </x:c>
      <x:c r="O44" t="str">
        <x:f>IF(L44&lt;N44,"Critical",IF(L44&lt;=60,"At Risk",IF(L44&lt;=120,"Tight","Adequate")))</x:f>
        <x:v>Tight</x:v>
      </x:c>
      <x:c r="P44" s="12" t="str">
        <x:f>IF(O44="Critical","Escalate supply review and confirm allocation",IF(O44="At Risk","Prioritize available inventory and expedite inbound supply",IF(O44="Tight","Monitor demand and expedite purchase orders","Maintain planned replenishment")))</x:f>
        <x:v>Monitor demand and expedite purchase orders</x:v>
      </x:c>
    </x:row>
    <x:row r="45">
      <x:c r="A45" s="8" t="str">
        <x:v>2026-06-14</x:v>
      </x:c>
      <x:c r="B45" t="str">
        <x:v>Regional Warehouse B</x:v>
      </x:c>
      <x:c r="C45" t="str">
        <x:v>RX-RARE-10</x:v>
      </x:c>
      <x:c r="D45" t="str">
        <x:v>Product Epsilon</x:v>
      </x:c>
      <x:c r="E45" t="str">
        <x:v>Refrigerated (2-8 C)</x:v>
      </x:c>
      <x:c r="F45" s="9" t="n">
        <x:v>1493</x:v>
      </x:c>
      <x:c r="G45" s="9" t="n">
        <x:v>105</x:v>
      </x:c>
      <x:c r="H45" s="9" t="n">
        <x:f>F45-G45</x:f>
        <x:v>1388</x:v>
      </x:c>
      <x:c r="I45" s="9" t="n">
        <x:v>121</x:v>
      </x:c>
      <x:c r="J45" s="9" t="n">
        <x:v>81</x:v>
      </x:c>
      <x:c r="K45" s="9" t="n">
        <x:v>506</x:v>
      </x:c>
      <x:c r="L45" s="9" t="n">
        <x:f>M45*30</x:f>
        <x:v>82.29249011857708</x:v>
      </x:c>
      <x:c r="M45" s="10" t="n">
        <x:f>IF(K45=0,0,H45/K45)</x:f>
        <x:v>2.7430830039525693</x:v>
      </x:c>
      <x:c r="N45" s="11" t="n">
        <x:v>45</x:v>
      </x:c>
      <x:c r="O45" t="str">
        <x:f>IF(L45&lt;N45,"Critical",IF(L45&lt;=60,"At Risk",IF(L45&lt;=120,"Tight","Adequate")))</x:f>
        <x:v>Tight</x:v>
      </x:c>
      <x:c r="P45" s="12" t="str">
        <x:f>IF(O45="Critical","Escalate supply review and confirm allocation",IF(O45="At Risk","Prioritize available inventory and expedite inbound supply",IF(O45="Tight","Monitor demand and expedite purchase orders","Maintain planned replenishment")))</x:f>
        <x:v>Monitor demand and expedite purchase orders</x:v>
      </x:c>
    </x:row>
    <x:row r="46">
      <x:c r="A46" s="8" t="str">
        <x:v>2026-06-14</x:v>
      </x:c>
      <x:c r="B46" t="str">
        <x:v>Regional Warehouse B</x:v>
      </x:c>
      <x:c r="C46" t="str">
        <x:v>DX-COMP-01</x:v>
      </x:c>
      <x:c r="D46" t="str">
        <x:v>Product Zeta</x:v>
      </x:c>
      <x:c r="E46" t="str">
        <x:v>Ambient</x:v>
      </x:c>
      <x:c r="F46" s="9" t="n">
        <x:v>1848</x:v>
      </x:c>
      <x:c r="G46" s="9" t="n">
        <x:v>259</x:v>
      </x:c>
      <x:c r="H46" s="9" t="n">
        <x:f>F46-G46</x:f>
        <x:v>1589</x:v>
      </x:c>
      <x:c r="I46" s="9" t="n">
        <x:v>202</x:v>
      </x:c>
      <x:c r="J46" s="9" t="n">
        <x:v>134</x:v>
      </x:c>
      <x:c r="K46" s="9" t="n">
        <x:v>560</x:v>
      </x:c>
      <x:c r="L46" s="9" t="n">
        <x:f>M46*30</x:f>
        <x:v>85.125</x:v>
      </x:c>
      <x:c r="M46" s="10" t="n">
        <x:f>IF(K46=0,0,H46/K46)</x:f>
        <x:v>2.8375</x:v>
      </x:c>
      <x:c r="N46" s="11" t="n">
        <x:v>10</x:v>
      </x:c>
      <x:c r="O46" t="str">
        <x:f>IF(L46&lt;N46,"Critical",IF(L46&lt;=60,"At Risk",IF(L46&lt;=120,"Tight","Adequate")))</x:f>
        <x:v>Tight</x:v>
      </x:c>
      <x:c r="P46" s="12" t="str">
        <x:f>IF(O46="Critical","Escalate supply review and confirm allocation",IF(O46="At Risk","Prioritize available inventory and expedite inbound supply",IF(O46="Tight","Monitor demand and expedite purchase orders","Maintain planned replenishment")))</x:f>
        <x:v>Monitor demand and expedite purchase orders</x:v>
      </x:c>
    </x:row>
    <x:row r="47">
      <x:c r="A47" s="8" t="str">
        <x:v>2026-06-14</x:v>
      </x:c>
      <x:c r="B47" t="str">
        <x:v>Regional Warehouse B</x:v>
      </x:c>
      <x:c r="C47" t="str">
        <x:v>RX-HOSP-20</x:v>
      </x:c>
      <x:c r="D47" t="str">
        <x:v>Product Eta</x:v>
      </x:c>
      <x:c r="E47" t="str">
        <x:v>Ambient</x:v>
      </x:c>
      <x:c r="F47" s="9" t="n">
        <x:v>307</x:v>
      </x:c>
      <x:c r="G47" s="9" t="n">
        <x:v>64</x:v>
      </x:c>
      <x:c r="H47" s="9" t="n">
        <x:f>F47-G47</x:f>
        <x:v>243</x:v>
      </x:c>
      <x:c r="I47" s="9" t="n">
        <x:v>295</x:v>
      </x:c>
      <x:c r="J47" s="9" t="n">
        <x:v>196</x:v>
      </x:c>
      <x:c r="K47" s="9" t="n">
        <x:v>614</x:v>
      </x:c>
      <x:c r="L47" s="9" t="n">
        <x:f>M47*30</x:f>
        <x:v>11.872964169381108</x:v>
      </x:c>
      <x:c r="M47" s="10" t="n">
        <x:f>IF(K47=0,0,H47/K47)</x:f>
        <x:v>0.3957654723127036</x:v>
      </x:c>
      <x:c r="N47" s="11" t="n">
        <x:v>14</x:v>
      </x:c>
      <x:c r="O47" t="str">
        <x:f>IF(L47&lt;N47,"Critical",IF(L47&lt;=60,"At Risk",IF(L47&lt;=120,"Tight","Adequate")))</x:f>
        <x:v>Critical</x:v>
      </x:c>
      <x:c r="P47" s="12" t="str">
        <x:f>IF(O47="Critical","Escalate supply review and confirm allocation",IF(O47="At Risk","Prioritize available inventory and expedite inbound supply",IF(O47="Tight","Monitor demand and expedite purchase orders","Maintain planned replenishment")))</x:f>
        <x:v>Escalate supply review and confirm allocation</x:v>
      </x:c>
    </x:row>
    <x:row r="48">
      <x:c r="A48" s="8" t="str">
        <x:v>2026-06-14</x:v>
      </x:c>
      <x:c r="B48" t="str">
        <x:v>Regional Warehouse B</x:v>
      </x:c>
      <x:c r="C48" t="str">
        <x:v>BIO-DERM-80</x:v>
      </x:c>
      <x:c r="D48" t="str">
        <x:v>Product Theta</x:v>
      </x:c>
      <x:c r="E48" t="str">
        <x:v>Refrigerated (2-8 C)</x:v>
      </x:c>
      <x:c r="F48" s="9" t="n">
        <x:v>568</x:v>
      </x:c>
      <x:c r="G48" s="9" t="n">
        <x:v>159</x:v>
      </x:c>
      <x:c r="H48" s="9" t="n">
        <x:f>F48-G48</x:f>
        <x:v>409</x:v>
      </x:c>
      <x:c r="I48" s="9" t="n">
        <x:v>0</x:v>
      </x:c>
      <x:c r="J48" s="9" t="n">
        <x:v>0</x:v>
      </x:c>
      <x:c r="K48" s="9" t="n">
        <x:v>668</x:v>
      </x:c>
      <x:c r="L48" s="9" t="n">
        <x:f>M48*30</x:f>
        <x:v>18.368263473053894</x:v>
      </x:c>
      <x:c r="M48" s="10" t="n">
        <x:f>IF(K48=0,0,H48/K48)</x:f>
        <x:v>0.6122754491017964</x:v>
      </x:c>
      <x:c r="N48" s="11" t="n">
        <x:v>16</x:v>
      </x:c>
      <x:c r="O48" t="str">
        <x:f>IF(L48&lt;N48,"Critical",IF(L48&lt;=60,"At Risk",IF(L48&lt;=120,"Tight","Adequate")))</x:f>
        <x:v>At Risk</x:v>
      </x:c>
      <x:c r="P48" s="12" t="str">
        <x:f>IF(O48="Critical","Escalate supply review and confirm allocation",IF(O48="At Risk","Prioritize available inventory and expedite inbound supply",IF(O48="Tight","Monitor demand and expedite purchase orders","Maintain planned replenishment")))</x:f>
        <x:v>Prioritize available inventory and expedite inbound supply</x:v>
      </x:c>
    </x:row>
    <x:row r="49">
      <x:c r="A49" s="8" t="str">
        <x:v>2026-06-14</x:v>
      </x:c>
      <x:c r="B49" t="str">
        <x:v>Regional Warehouse B</x:v>
      </x:c>
      <x:c r="C49" t="str">
        <x:v>RX-ONC-ORAL</x:v>
      </x:c>
      <x:c r="D49" t="str">
        <x:v>Product Iota</x:v>
      </x:c>
      <x:c r="E49" t="str">
        <x:v>Ambient</x:v>
      </x:c>
      <x:c r="F49" s="9" t="n">
        <x:v>866</x:v>
      </x:c>
      <x:c r="G49" s="9" t="n">
        <x:v>303</x:v>
      </x:c>
      <x:c r="H49" s="9" t="n">
        <x:f>F49-G49</x:f>
        <x:v>563</x:v>
      </x:c>
      <x:c r="I49" s="9" t="n">
        <x:v>86</x:v>
      </x:c>
      <x:c r="J49" s="9" t="n">
        <x:v>58</x:v>
      </x:c>
      <x:c r="K49" s="9" t="n">
        <x:v>722</x:v>
      </x:c>
      <x:c r="L49" s="9" t="n">
        <x:f>M49*30</x:f>
        <x:v>23.393351800554015</x:v>
      </x:c>
      <x:c r="M49" s="10" t="n">
        <x:f>IF(K49=0,0,H49/K49)</x:f>
        <x:v>0.7797783933518005</x:v>
      </x:c>
      <x:c r="N49" s="11" t="n">
        <x:v>12</x:v>
      </x:c>
      <x:c r="O49" t="str">
        <x:f>IF(L49&lt;N49,"Critical",IF(L49&lt;=60,"At Risk",IF(L49&lt;=120,"Tight","Adequate")))</x:f>
        <x:v>At Risk</x:v>
      </x:c>
      <x:c r="P49" s="12" t="str">
        <x:f>IF(O49="Critical","Escalate supply review and confirm allocation",IF(O49="At Risk","Prioritize available inventory and expedite inbound supply",IF(O49="Tight","Monitor demand and expedite purchase orders","Maintain planned replenishment")))</x:f>
        <x:v>Prioritize available inventory and expedite inbound supply</x:v>
      </x:c>
    </x:row>
    <x:row r="50">
      <x:c r="A50" s="8" t="str">
        <x:v>2026-06-14</x:v>
      </x:c>
      <x:c r="B50" t="str">
        <x:v>Regional Warehouse B</x:v>
      </x:c>
      <x:c r="C50" t="str">
        <x:v>RX-RARE-INF</x:v>
      </x:c>
      <x:c r="D50" t="str">
        <x:v>Product Kappa</x:v>
      </x:c>
      <x:c r="E50" t="str">
        <x:v>Refrigerated (2-8 C)</x:v>
      </x:c>
      <x:c r="F50" s="9" t="n">
        <x:v>1203</x:v>
      </x:c>
      <x:c r="G50" s="9" t="n">
        <x:v>0</x:v>
      </x:c>
      <x:c r="H50" s="9" t="n">
        <x:f>F50-G50</x:f>
        <x:v>1203</x:v>
      </x:c>
      <x:c r="I50" s="9" t="n">
        <x:v>186</x:v>
      </x:c>
      <x:c r="J50" s="9" t="n">
        <x:v>124</x:v>
      </x:c>
      <x:c r="K50" s="9" t="n">
        <x:v>776</x:v>
      </x:c>
      <x:c r="L50" s="9" t="n">
        <x:f>M50*30</x:f>
        <x:v>46.50773195876289</x:v>
      </x:c>
      <x:c r="M50" s="10" t="n">
        <x:f>IF(K50=0,0,H50/K50)</x:f>
        <x:v>1.550257731958763</x:v>
      </x:c>
      <x:c r="N50" s="11" t="n">
        <x:v>60</x:v>
      </x:c>
      <x:c r="O50" t="str">
        <x:f>IF(L50&lt;N50,"Critical",IF(L50&lt;=60,"At Risk",IF(L50&lt;=120,"Tight","Adequate")))</x:f>
        <x:v>Critical</x:v>
      </x:c>
      <x:c r="P50" s="12" t="str">
        <x:f>IF(O50="Critical","Escalate supply review and confirm allocation",IF(O50="At Risk","Prioritize available inventory and expedite inbound supply",IF(O50="Tight","Monitor demand and expedite purchase orders","Maintain planned replenishment")))</x:f>
        <x:v>Escalate supply review and confirm allocation</x:v>
      </x:c>
    </x:row>
    <x:row r="51">
      <x:c r="A51" s="8" t="str">
        <x:v>2026-06-14</x:v>
      </x:c>
      <x:c r="B51" t="str">
        <x:v>Regional Warehouse B</x:v>
      </x:c>
      <x:c r="C51" t="str">
        <x:v>DX-GENE-02</x:v>
      </x:c>
      <x:c r="D51" t="str">
        <x:v>Product Lambda</x:v>
      </x:c>
      <x:c r="E51" t="str">
        <x:v>Ambient</x:v>
      </x:c>
      <x:c r="F51" s="9" t="n">
        <x:v>1577</x:v>
      </x:c>
      <x:c r="G51" s="9" t="n">
        <x:v>110</x:v>
      </x:c>
      <x:c r="H51" s="9" t="n">
        <x:f>F51-G51</x:f>
        <x:v>1467</x:v>
      </x:c>
      <x:c r="I51" s="9" t="n">
        <x:v>299</x:v>
      </x:c>
      <x:c r="J51" s="9" t="n">
        <x:v>199</x:v>
      </x:c>
      <x:c r="K51" s="9" t="n">
        <x:v>830</x:v>
      </x:c>
      <x:c r="L51" s="9" t="n">
        <x:f>M51*30</x:f>
        <x:v>53.02409638554217</x:v>
      </x:c>
      <x:c r="M51" s="10" t="n">
        <x:f>IF(K51=0,0,H51/K51)</x:f>
        <x:v>1.7674698795180723</x:v>
      </x:c>
      <x:c r="N51" s="11" t="n">
        <x:v>12</x:v>
      </x:c>
      <x:c r="O51" t="str">
        <x:f>IF(L51&lt;N51,"Critical",IF(L51&lt;=60,"At Risk",IF(L51&lt;=120,"Tight","Adequate")))</x:f>
        <x:v>At Risk</x:v>
      </x:c>
      <x:c r="P51" s="12" t="str">
        <x:f>IF(O51="Critical","Escalate supply review and confirm allocation",IF(O51="At Risk","Prioritize available inventory and expedite inbound supply",IF(O51="Tight","Monitor demand and expedite purchase orders","Maintain planned replenishment")))</x:f>
        <x:v>Prioritize available inventory and expedite inbound supply</x:v>
      </x:c>
    </x:row>
    <x:row r="52">
      <x:c r="A52" s="8" t="str">
        <x:v>2026-06-14</x:v>
      </x:c>
      <x:c r="B52" t="str">
        <x:v>Regional Warehouse B</x:v>
      </x:c>
      <x:c r="C52" t="str">
        <x:v>SVC-PAT-01</x:v>
      </x:c>
      <x:c r="D52" t="str">
        <x:v>Product Mu</x:v>
      </x:c>
      <x:c r="E52" t="str">
        <x:v>Not Applicable</x:v>
      </x:c>
      <x:c r="F52" s="9" t="n">
        <x:v>1989</x:v>
      </x:c>
      <x:c r="G52" s="9" t="n">
        <x:v>278</x:v>
      </x:c>
      <x:c r="H52" s="9" t="n">
        <x:f>F52-G52</x:f>
        <x:v>1711</x:v>
      </x:c>
      <x:c r="I52" s="9" t="n">
        <x:v>424</x:v>
      </x:c>
      <x:c r="J52" s="9" t="n">
        <x:v>283</x:v>
      </x:c>
      <x:c r="K52" s="9" t="n">
        <x:v>884</x:v>
      </x:c>
      <x:c r="L52" s="9" t="n">
        <x:f>M52*30</x:f>
        <x:v>58.06561085972851</x:v>
      </x:c>
      <x:c r="M52" s="10" t="n">
        <x:f>IF(K52=0,0,H52/K52)</x:f>
        <x:v>1.9355203619909502</x:v>
      </x:c>
      <x:c r="N52" s="11" t="n">
        <x:v>14</x:v>
      </x:c>
      <x:c r="O52" t="str">
        <x:f>IF(L52&lt;N52,"Critical",IF(L52&lt;=60,"At Risk",IF(L52&lt;=120,"Tight","Adequate")))</x:f>
        <x:v>At Risk</x:v>
      </x:c>
      <x:c r="P52" s="12" t="str">
        <x:f>IF(O52="Critical","Escalate supply review and confirm allocation",IF(O52="At Risk","Prioritize available inventory and expedite inbound supply",IF(O52="Tight","Monitor demand and expedite purchase orders","Maintain planned replenishment")))</x:f>
        <x:v>Prioritize available inventory and expedite inbound supply</x:v>
      </x:c>
    </x:row>
    <x:row r="53">
      <x:c r="A53" s="8" t="str">
        <x:v>2026-06-14</x:v>
      </x:c>
      <x:c r="B53" t="str">
        <x:v>Regional Warehouse C</x:v>
      </x:c>
      <x:c r="C53" t="str">
        <x:v>RX-ONC-100</x:v>
      </x:c>
      <x:c r="D53" t="str">
        <x:v>Product Alpha</x:v>
      </x:c>
      <x:c r="E53" t="str">
        <x:v>Refrigerated (2-8 C)</x:v>
      </x:c>
      <x:c r="F53" s="9" t="n">
        <x:v>637</x:v>
      </x:c>
      <x:c r="G53" s="9" t="n">
        <x:v>178</x:v>
      </x:c>
      <x:c r="H53" s="9" t="n">
        <x:f>F53-G53</x:f>
        <x:v>459</x:v>
      </x:c>
      <x:c r="I53" s="9" t="n">
        <x:v>161</x:v>
      </x:c>
      <x:c r="J53" s="9" t="n">
        <x:v>107</x:v>
      </x:c>
      <x:c r="K53" s="9" t="n">
        <x:v>335</x:v>
      </x:c>
      <x:c r="L53" s="9" t="n">
        <x:f>M53*30</x:f>
        <x:v>41.1044776119403</x:v>
      </x:c>
      <x:c r="M53" s="10" t="n">
        <x:f>IF(K53=0,0,H53/K53)</x:f>
        <x:v>1.3701492537313433</x:v>
      </x:c>
      <x:c r="N53" s="11" t="n">
        <x:v>21</x:v>
      </x:c>
      <x:c r="O53" t="str">
        <x:f>IF(L53&lt;N53,"Critical",IF(L53&lt;=60,"At Risk",IF(L53&lt;=120,"Tight","Adequate")))</x:f>
        <x:v>At Risk</x:v>
      </x:c>
      <x:c r="P53" s="12" t="str">
        <x:f>IF(O53="Critical","Escalate supply review and confirm allocation",IF(O53="At Risk","Prioritize available inventory and expedite inbound supply",IF(O53="Tight","Monitor demand and expedite purchase orders","Maintain planned replenishment")))</x:f>
        <x:v>Prioritize available inventory and expedite inbound supply</x:v>
      </x:c>
    </x:row>
    <x:row r="54">
      <x:c r="A54" s="8" t="str">
        <x:v>2026-06-14</x:v>
      </x:c>
      <x:c r="B54" t="str">
        <x:v>Regional Warehouse C</x:v>
      </x:c>
      <x:c r="C54" t="str">
        <x:v>RX-ONC-500</x:v>
      </x:c>
      <x:c r="D54" t="str">
        <x:v>Product Beta</x:v>
      </x:c>
      <x:c r="E54" t="str">
        <x:v>Refrigerated (2-8 C)</x:v>
      </x:c>
      <x:c r="F54" s="9" t="n">
        <x:v>896</x:v>
      </x:c>
      <x:c r="G54" s="9" t="n">
        <x:v>314</x:v>
      </x:c>
      <x:c r="H54" s="9" t="n">
        <x:f>F54-G54</x:f>
        <x:v>582</x:v>
      </x:c>
      <x:c r="I54" s="9" t="n">
        <x:v>0</x:v>
      </x:c>
      <x:c r="J54" s="9" t="n">
        <x:v>0</x:v>
      </x:c>
      <x:c r="K54" s="9" t="n">
        <x:v>398</x:v>
      </x:c>
      <x:c r="L54" s="9" t="n">
        <x:f>M54*30</x:f>
        <x:v>43.869346733668344</x:v>
      </x:c>
      <x:c r="M54" s="10" t="n">
        <x:f>IF(K54=0,0,H54/K54)</x:f>
        <x:v>1.4623115577889447</x:v>
      </x:c>
      <x:c r="N54" s="11" t="n">
        <x:v>28</x:v>
      </x:c>
      <x:c r="O54" t="str">
        <x:f>IF(L54&lt;N54,"Critical",IF(L54&lt;=60,"At Risk",IF(L54&lt;=120,"Tight","Adequate")))</x:f>
        <x:v>At Risk</x:v>
      </x:c>
      <x:c r="P54" s="12" t="str">
        <x:f>IF(O54="Critical","Escalate supply review and confirm allocation",IF(O54="At Risk","Prioritize available inventory and expedite inbound supply",IF(O54="Tight","Monitor demand and expedite purchase orders","Maintain planned replenishment")))</x:f>
        <x:v>Prioritize available inventory and expedite inbound supply</x:v>
      </x:c>
    </x:row>
    <x:row r="55">
      <x:c r="A55" s="8" t="str">
        <x:v>2026-06-14</x:v>
      </x:c>
      <x:c r="B55" t="str">
        <x:v>Regional Warehouse C</x:v>
      </x:c>
      <x:c r="C55" t="str">
        <x:v>BIO-RA-200</x:v>
      </x:c>
      <x:c r="D55" t="str">
        <x:v>Product Gamma</x:v>
      </x:c>
      <x:c r="E55" t="str">
        <x:v>Refrigerated (2-8 C)</x:v>
      </x:c>
      <x:c r="F55" s="9" t="n">
        <x:v>1199</x:v>
      </x:c>
      <x:c r="G55" s="9" t="n">
        <x:v>0</x:v>
      </x:c>
      <x:c r="H55" s="9" t="n">
        <x:f>F55-G55</x:f>
        <x:v>1199</x:v>
      </x:c>
      <x:c r="I55" s="9" t="n">
        <x:v>55</x:v>
      </x:c>
      <x:c r="J55" s="9" t="n">
        <x:v>37</x:v>
      </x:c>
      <x:c r="K55" s="9" t="n">
        <x:v>461</x:v>
      </x:c>
      <x:c r="L55" s="9" t="n">
        <x:f>M55*30</x:f>
        <x:v>78.02603036876356</x:v>
      </x:c>
      <x:c r="M55" s="10" t="n">
        <x:f>IF(K55=0,0,H55/K55)</x:f>
        <x:v>2.6008676789587852</x:v>
      </x:c>
      <x:c r="N55" s="11" t="n">
        <x:v>18</x:v>
      </x:c>
      <x:c r="O55" t="str">
        <x:f>IF(L55&lt;N55,"Critical",IF(L55&lt;=60,"At Risk",IF(L55&lt;=120,"Tight","Adequate")))</x:f>
        <x:v>Tight</x:v>
      </x:c>
      <x:c r="P55" s="12" t="str">
        <x:f>IF(O55="Critical","Escalate supply review and confirm allocation",IF(O55="At Risk","Prioritize available inventory and expedite inbound supply",IF(O55="Tight","Monitor demand and expedite purchase orders","Maintain planned replenishment")))</x:f>
        <x:v>Monitor demand and expedite purchase orders</x:v>
      </x:c>
    </x:row>
    <x:row r="56">
      <x:c r="A56" s="8" t="str">
        <x:v>2026-06-14</x:v>
      </x:c>
      <x:c r="B56" t="str">
        <x:v>Regional Warehouse C</x:v>
      </x:c>
      <x:c r="C56" t="str">
        <x:v>RX-CARD-50</x:v>
      </x:c>
      <x:c r="D56" t="str">
        <x:v>Product Delta</x:v>
      </x:c>
      <x:c r="E56" t="str">
        <x:v>Ambient</x:v>
      </x:c>
      <x:c r="F56" s="9" t="n">
        <x:v>1546</x:v>
      </x:c>
      <x:c r="G56" s="9" t="n">
        <x:v>108</x:v>
      </x:c>
      <x:c r="H56" s="9" t="n">
        <x:f>F56-G56</x:f>
        <x:v>1438</x:v>
      </x:c>
      <x:c r="I56" s="9" t="n">
        <x:v>126</x:v>
      </x:c>
      <x:c r="J56" s="9" t="n">
        <x:v>84</x:v>
      </x:c>
      <x:c r="K56" s="9" t="n">
        <x:v>524</x:v>
      </x:c>
      <x:c r="L56" s="9" t="n">
        <x:f>M56*30</x:f>
        <x:v>82.32824427480917</x:v>
      </x:c>
      <x:c r="M56" s="10" t="n">
        <x:f>IF(K56=0,0,H56/K56)</x:f>
        <x:v>2.7442748091603053</x:v>
      </x:c>
      <x:c r="N56" s="11" t="n">
        <x:v>7</x:v>
      </x:c>
      <x:c r="O56" t="str">
        <x:f>IF(L56&lt;N56,"Critical",IF(L56&lt;=60,"At Risk",IF(L56&lt;=120,"Tight","Adequate")))</x:f>
        <x:v>Tight</x:v>
      </x:c>
      <x:c r="P56" s="12" t="str">
        <x:f>IF(O56="Critical","Escalate supply review and confirm allocation",IF(O56="At Risk","Prioritize available inventory and expedite inbound supply",IF(O56="Tight","Monitor demand and expedite purchase orders","Maintain planned replenishment")))</x:f>
        <x:v>Monitor demand and expedite purchase orders</x:v>
      </x:c>
    </x:row>
    <x:row r="57">
      <x:c r="A57" s="8" t="str">
        <x:v>2026-06-14</x:v>
      </x:c>
      <x:c r="B57" t="str">
        <x:v>Regional Warehouse C</x:v>
      </x:c>
      <x:c r="C57" t="str">
        <x:v>RX-RARE-10</x:v>
      </x:c>
      <x:c r="D57" t="str">
        <x:v>Product Epsilon</x:v>
      </x:c>
      <x:c r="E57" t="str">
        <x:v>Refrigerated (2-8 C)</x:v>
      </x:c>
      <x:c r="F57" s="9" t="n">
        <x:v>1937</x:v>
      </x:c>
      <x:c r="G57" s="9" t="n">
        <x:v>271</x:v>
      </x:c>
      <x:c r="H57" s="9" t="n">
        <x:f>F57-G57</x:f>
        <x:v>1666</x:v>
      </x:c>
      <x:c r="I57" s="9" t="n">
        <x:v>211</x:v>
      </x:c>
      <x:c r="J57" s="9" t="n">
        <x:v>141</x:v>
      </x:c>
      <x:c r="K57" s="9" t="n">
        <x:v>587</x:v>
      </x:c>
      <x:c r="L57" s="9" t="n">
        <x:f>M57*30</x:f>
        <x:v>85.14480408858604</x:v>
      </x:c>
      <x:c r="M57" s="10" t="n">
        <x:f>IF(K57=0,0,H57/K57)</x:f>
        <x:v>2.8381601362862012</x:v>
      </x:c>
      <x:c r="N57" s="11" t="n">
        <x:v>45</x:v>
      </x:c>
      <x:c r="O57" t="str">
        <x:f>IF(L57&lt;N57,"Critical",IF(L57&lt;=60,"At Risk",IF(L57&lt;=120,"Tight","Adequate")))</x:f>
        <x:v>Tight</x:v>
      </x:c>
      <x:c r="P57" s="12" t="str">
        <x:f>IF(O57="Critical","Escalate supply review and confirm allocation",IF(O57="At Risk","Prioritize available inventory and expedite inbound supply",IF(O57="Tight","Monitor demand and expedite purchase orders","Maintain planned replenishment")))</x:f>
        <x:v>Monitor demand and expedite purchase orders</x:v>
      </x:c>
    </x:row>
    <x:row r="58">
      <x:c r="A58" s="8" t="str">
        <x:v>2026-06-14</x:v>
      </x:c>
      <x:c r="B58" t="str">
        <x:v>Regional Warehouse C</x:v>
      </x:c>
      <x:c r="C58" t="str">
        <x:v>DX-COMP-01</x:v>
      </x:c>
      <x:c r="D58" t="str">
        <x:v>Product Zeta</x:v>
      </x:c>
      <x:c r="E58" t="str">
        <x:v>Ambient</x:v>
      </x:c>
      <x:c r="F58" s="9" t="n">
        <x:v>325</x:v>
      </x:c>
      <x:c r="G58" s="9" t="n">
        <x:v>68</x:v>
      </x:c>
      <x:c r="H58" s="9" t="n">
        <x:f>F58-G58</x:f>
        <x:v>257</x:v>
      </x:c>
      <x:c r="I58" s="9" t="n">
        <x:v>312</x:v>
      </x:c>
      <x:c r="J58" s="9" t="n">
        <x:v>208</x:v>
      </x:c>
      <x:c r="K58" s="9" t="n">
        <x:v>650</x:v>
      </x:c>
      <x:c r="L58" s="9" t="n">
        <x:f>M58*30</x:f>
        <x:v>11.861538461538462</x:v>
      </x:c>
      <x:c r="M58" s="10" t="n">
        <x:f>IF(K58=0,0,H58/K58)</x:f>
        <x:v>0.3953846153846154</x:v>
      </x:c>
      <x:c r="N58" s="11" t="n">
        <x:v>10</x:v>
      </x:c>
      <x:c r="O58" t="str">
        <x:f>IF(L58&lt;N58,"Critical",IF(L58&lt;=60,"At Risk",IF(L58&lt;=120,"Tight","Adequate")))</x:f>
        <x:v>At Risk</x:v>
      </x:c>
      <x:c r="P58" s="12" t="str">
        <x:f>IF(O58="Critical","Escalate supply review and confirm allocation",IF(O58="At Risk","Prioritize available inventory and expedite inbound supply",IF(O58="Tight","Monitor demand and expedite purchase orders","Maintain planned replenishment")))</x:f>
        <x:v>Prioritize available inventory and expedite inbound supply</x:v>
      </x:c>
    </x:row>
    <x:row r="59">
      <x:c r="A59" s="8" t="str">
        <x:v>2026-06-14</x:v>
      </x:c>
      <x:c r="B59" t="str">
        <x:v>Regional Warehouse C</x:v>
      </x:c>
      <x:c r="C59" t="str">
        <x:v>RX-HOSP-20</x:v>
      </x:c>
      <x:c r="D59" t="str">
        <x:v>Product Eta</x:v>
      </x:c>
      <x:c r="E59" t="str">
        <x:v>Ambient</x:v>
      </x:c>
      <x:c r="F59" s="9" t="n">
        <x:v>606</x:v>
      </x:c>
      <x:c r="G59" s="9" t="n">
        <x:v>170</x:v>
      </x:c>
      <x:c r="H59" s="9" t="n">
        <x:f>F59-G59</x:f>
        <x:v>436</x:v>
      </x:c>
      <x:c r="I59" s="9" t="n">
        <x:v>0</x:v>
      </x:c>
      <x:c r="J59" s="9" t="n">
        <x:v>0</x:v>
      </x:c>
      <x:c r="K59" s="9" t="n">
        <x:v>713</x:v>
      </x:c>
      <x:c r="L59" s="9" t="n">
        <x:f>M59*30</x:f>
        <x:v>18.34502103786816</x:v>
      </x:c>
      <x:c r="M59" s="10" t="n">
        <x:f>IF(K59=0,0,H59/K59)</x:f>
        <x:v>0.6115007012622721</x:v>
      </x:c>
      <x:c r="N59" s="11" t="n">
        <x:v>14</x:v>
      </x:c>
      <x:c r="O59" t="str">
        <x:f>IF(L59&lt;N59,"Critical",IF(L59&lt;=60,"At Risk",IF(L59&lt;=120,"Tight","Adequate")))</x:f>
        <x:v>At Risk</x:v>
      </x:c>
      <x:c r="P59" s="12" t="str">
        <x:f>IF(O59="Critical","Escalate supply review and confirm allocation",IF(O59="At Risk","Prioritize available inventory and expedite inbound supply",IF(O59="Tight","Monitor demand and expedite purchase orders","Maintain planned replenishment")))</x:f>
        <x:v>Prioritize available inventory and expedite inbound supply</x:v>
      </x:c>
    </x:row>
    <x:row r="60">
      <x:c r="A60" s="8" t="str">
        <x:v>2026-06-14</x:v>
      </x:c>
      <x:c r="B60" t="str">
        <x:v>Regional Warehouse C</x:v>
      </x:c>
      <x:c r="C60" t="str">
        <x:v>BIO-DERM-80</x:v>
      </x:c>
      <x:c r="D60" t="str">
        <x:v>Product Theta</x:v>
      </x:c>
      <x:c r="E60" t="str">
        <x:v>Refrigerated (2-8 C)</x:v>
      </x:c>
      <x:c r="F60" s="9" t="n">
        <x:v>931</x:v>
      </x:c>
      <x:c r="G60" s="9" t="n">
        <x:v>326</x:v>
      </x:c>
      <x:c r="H60" s="9" t="n">
        <x:f>F60-G60</x:f>
        <x:v>605</x:v>
      </x:c>
      <x:c r="I60" s="9" t="n">
        <x:v>93</x:v>
      </x:c>
      <x:c r="J60" s="9" t="n">
        <x:v>62</x:v>
      </x:c>
      <x:c r="K60" s="9" t="n">
        <x:v>776</x:v>
      </x:c>
      <x:c r="L60" s="9" t="n">
        <x:f>M60*30</x:f>
        <x:v>23.38917525773196</x:v>
      </x:c>
      <x:c r="M60" s="10" t="n">
        <x:f>IF(K60=0,0,H60/K60)</x:f>
        <x:v>0.779639175257732</x:v>
      </x:c>
      <x:c r="N60" s="11" t="n">
        <x:v>16</x:v>
      </x:c>
      <x:c r="O60" t="str">
        <x:f>IF(L60&lt;N60,"Critical",IF(L60&lt;=60,"At Risk",IF(L60&lt;=120,"Tight","Adequate")))</x:f>
        <x:v>At Risk</x:v>
      </x:c>
      <x:c r="P60" s="12" t="str">
        <x:f>IF(O60="Critical","Escalate supply review and confirm allocation",IF(O60="At Risk","Prioritize available inventory and expedite inbound supply",IF(O60="Tight","Monitor demand and expedite purchase orders","Maintain planned replenishment")))</x:f>
        <x:v>Prioritize available inventory and expedite inbound supply</x:v>
      </x:c>
    </x:row>
    <x:row r="61">
      <x:c r="A61" s="8" t="str">
        <x:v>2026-06-14</x:v>
      </x:c>
      <x:c r="B61" t="str">
        <x:v>Regional Warehouse C</x:v>
      </x:c>
      <x:c r="C61" t="str">
        <x:v>RX-ONC-ORAL</x:v>
      </x:c>
      <x:c r="D61" t="str">
        <x:v>Product Iota</x:v>
      </x:c>
      <x:c r="E61" t="str">
        <x:v>Ambient</x:v>
      </x:c>
      <x:c r="F61" s="9" t="n">
        <x:v>1300</x:v>
      </x:c>
      <x:c r="G61" s="9" t="n">
        <x:v>0</x:v>
      </x:c>
      <x:c r="H61" s="9" t="n">
        <x:f>F61-G61</x:f>
        <x:v>1300</x:v>
      </x:c>
      <x:c r="I61" s="9" t="n">
        <x:v>202</x:v>
      </x:c>
      <x:c r="J61" s="9" t="n">
        <x:v>134</x:v>
      </x:c>
      <x:c r="K61" s="9" t="n">
        <x:v>839</x:v>
      </x:c>
      <x:c r="L61" s="9" t="n">
        <x:f>M61*30</x:f>
        <x:v>46.48390941597139</x:v>
      </x:c>
      <x:c r="M61" s="10" t="n">
        <x:f>IF(K61=0,0,H61/K61)</x:f>
        <x:v>1.5494636471990464</x:v>
      </x:c>
      <x:c r="N61" s="11" t="n">
        <x:v>12</x:v>
      </x:c>
      <x:c r="O61" t="str">
        <x:f>IF(L61&lt;N61,"Critical",IF(L61&lt;=60,"At Risk",IF(L61&lt;=120,"Tight","Adequate")))</x:f>
        <x:v>At Risk</x:v>
      </x:c>
      <x:c r="P61" s="12" t="str">
        <x:f>IF(O61="Critical","Escalate supply review and confirm allocation",IF(O61="At Risk","Prioritize available inventory and expedite inbound supply",IF(O61="Tight","Monitor demand and expedite purchase orders","Maintain planned replenishment")))</x:f>
        <x:v>Prioritize available inventory and expedite inbound supply</x:v>
      </x:c>
    </x:row>
    <x:row r="62">
      <x:c r="A62" s="8" t="str">
        <x:v>2026-06-14</x:v>
      </x:c>
      <x:c r="B62" t="str">
        <x:v>Regional Warehouse C</x:v>
      </x:c>
      <x:c r="C62" t="str">
        <x:v>RX-RARE-INF</x:v>
      </x:c>
      <x:c r="D62" t="str">
        <x:v>Product Kappa</x:v>
      </x:c>
      <x:c r="E62" t="str">
        <x:v>Refrigerated (2-8 C)</x:v>
      </x:c>
      <x:c r="F62" s="9" t="n">
        <x:v>1714</x:v>
      </x:c>
      <x:c r="G62" s="9" t="n">
        <x:v>120</x:v>
      </x:c>
      <x:c r="H62" s="9" t="n">
        <x:f>F62-G62</x:f>
        <x:v>1594</x:v>
      </x:c>
      <x:c r="I62" s="9" t="n">
        <x:v>325</x:v>
      </x:c>
      <x:c r="J62" s="9" t="n">
        <x:v>216</x:v>
      </x:c>
      <x:c r="K62" s="9" t="n">
        <x:v>902</x:v>
      </x:c>
      <x:c r="L62" s="9" t="n">
        <x:f>M62*30</x:f>
        <x:v>53.01552106430155</x:v>
      </x:c>
      <x:c r="M62" s="10" t="n">
        <x:f>IF(K62=0,0,H62/K62)</x:f>
        <x:v>1.7671840354767183</x:v>
      </x:c>
      <x:c r="N62" s="11" t="n">
        <x:v>60</x:v>
      </x:c>
      <x:c r="O62" t="str">
        <x:f>IF(L62&lt;N62,"Critical",IF(L62&lt;=60,"At Risk",IF(L62&lt;=120,"Tight","Adequate")))</x:f>
        <x:v>Critical</x:v>
      </x:c>
      <x:c r="P62" s="12" t="str">
        <x:f>IF(O62="Critical","Escalate supply review and confirm allocation",IF(O62="At Risk","Prioritize available inventory and expedite inbound supply",IF(O62="Tight","Monitor demand and expedite purchase orders","Maintain planned replenishment")))</x:f>
        <x:v>Escalate supply review and confirm allocation</x:v>
      </x:c>
    </x:row>
    <x:row r="63">
      <x:c r="A63" s="8" t="str">
        <x:v>2026-06-14</x:v>
      </x:c>
      <x:c r="B63" t="str">
        <x:v>Regional Warehouse C</x:v>
      </x:c>
      <x:c r="C63" t="str">
        <x:v>DX-GENE-02</x:v>
      </x:c>
      <x:c r="D63" t="str">
        <x:v>Product Lambda</x:v>
      </x:c>
      <x:c r="E63" t="str">
        <x:v>Ambient</x:v>
      </x:c>
      <x:c r="F63" s="9" t="n">
        <x:v>2171</x:v>
      </x:c>
      <x:c r="G63" s="9" t="n">
        <x:v>304</x:v>
      </x:c>
      <x:c r="H63" s="9" t="n">
        <x:f>F63-G63</x:f>
        <x:v>1867</x:v>
      </x:c>
      <x:c r="I63" s="9" t="n">
        <x:v>463</x:v>
      </x:c>
      <x:c r="J63" s="9" t="n">
        <x:v>309</x:v>
      </x:c>
      <x:c r="K63" s="9" t="n">
        <x:v>965</x:v>
      </x:c>
      <x:c r="L63" s="9" t="n">
        <x:f>M63*30</x:f>
        <x:v>58.04145077720207</x:v>
      </x:c>
      <x:c r="M63" s="10" t="n">
        <x:f>IF(K63=0,0,H63/K63)</x:f>
        <x:v>1.9347150259067358</x:v>
      </x:c>
      <x:c r="N63" s="11" t="n">
        <x:v>12</x:v>
      </x:c>
      <x:c r="O63" t="str">
        <x:f>IF(L63&lt;N63,"Critical",IF(L63&lt;=60,"At Risk",IF(L63&lt;=120,"Tight","Adequate")))</x:f>
        <x:v>At Risk</x:v>
      </x:c>
      <x:c r="P63" s="12" t="str">
        <x:f>IF(O63="Critical","Escalate supply review and confirm allocation",IF(O63="At Risk","Prioritize available inventory and expedite inbound supply",IF(O63="Tight","Monitor demand and expedite purchase orders","Maintain planned replenishment")))</x:f>
        <x:v>Prioritize available inventory and expedite inbound supply</x:v>
      </x:c>
    </x:row>
    <x:row r="64">
      <x:c r="A64" s="8" t="str">
        <x:v>2026-06-14</x:v>
      </x:c>
      <x:c r="B64" t="str">
        <x:v>Regional Warehouse C</x:v>
      </x:c>
      <x:c r="C64" t="str">
        <x:v>SVC-PAT-01</x:v>
      </x:c>
      <x:c r="D64" t="str">
        <x:v>Product Mu</x:v>
      </x:c>
      <x:c r="E64" t="str">
        <x:v>Not Applicable</x:v>
      </x:c>
      <x:c r="F64" s="9" t="n">
        <x:v>203</x:v>
      </x:c>
      <x:c r="G64" s="9" t="n">
        <x:v>43</x:v>
      </x:c>
      <x:c r="H64" s="9" t="n">
        <x:f>F64-G64</x:f>
        <x:v>160</x:v>
      </x:c>
      <x:c r="I64" s="9" t="n">
        <x:v>0</x:v>
      </x:c>
      <x:c r="J64" s="9" t="n">
        <x:v>0</x:v>
      </x:c>
      <x:c r="K64" s="9" t="n">
        <x:v>78</x:v>
      </x:c>
      <x:c r="L64" s="9" t="n">
        <x:f>M64*30</x:f>
        <x:v>61.53846153846153</x:v>
      </x:c>
      <x:c r="M64" s="10" t="n">
        <x:f>IF(K64=0,0,H64/K64)</x:f>
        <x:v>2.051282051282051</x:v>
      </x:c>
      <x:c r="N64" s="11" t="n">
        <x:v>14</x:v>
      </x:c>
      <x:c r="O64" t="str">
        <x:f>IF(L64&lt;N64,"Critical",IF(L64&lt;=60,"At Risk",IF(L64&lt;=120,"Tight","Adequate")))</x:f>
        <x:v>Tight</x:v>
      </x:c>
      <x:c r="P64" s="12" t="str">
        <x:f>IF(O64="Critical","Escalate supply review and confirm allocation",IF(O64="At Risk","Prioritize available inventory and expedite inbound supply",IF(O64="Tight","Monitor demand and expedite purchase orders","Maintain planned replenishment")))</x:f>
        <x:v>Monitor demand and expedite purchase orders</x:v>
      </x:c>
    </x:row>
    <x:row r="65">
      <x:c r="A65" s="8" t="str">
        <x:v>2026-06-14</x:v>
      </x:c>
      <x:c r="B65" t="str">
        <x:v>Central Warehouse C</x:v>
      </x:c>
      <x:c r="C65" t="str">
        <x:v>RX-ONC-100</x:v>
      </x:c>
      <x:c r="D65" t="str">
        <x:v>Product Alpha</x:v>
      </x:c>
      <x:c r="E65" t="str">
        <x:v>Refrigerated (2-8 C)</x:v>
      </x:c>
      <x:c r="F65" s="9" t="n">
        <x:v>855</x:v>
      </x:c>
      <x:c r="G65" s="9" t="n">
        <x:v>299</x:v>
      </x:c>
      <x:c r="H65" s="9" t="n">
        <x:f>F65-G65</x:f>
        <x:v>556</x:v>
      </x:c>
      <x:c r="I65" s="9" t="n">
        <x:v>0</x:v>
      </x:c>
      <x:c r="J65" s="9" t="n">
        <x:v>0</x:v>
      </x:c>
      <x:c r="K65" s="9" t="n">
        <x:v>380</x:v>
      </x:c>
      <x:c r="L65" s="9" t="n">
        <x:f>M65*30</x:f>
        <x:v>43.89473684210527</x:v>
      </x:c>
      <x:c r="M65" s="10" t="n">
        <x:f>IF(K65=0,0,H65/K65)</x:f>
        <x:v>1.4631578947368422</x:v>
      </x:c>
      <x:c r="N65" s="11" t="n">
        <x:v>21</x:v>
      </x:c>
      <x:c r="O65" t="str">
        <x:f>IF(L65&lt;N65,"Critical",IF(L65&lt;=60,"At Risk",IF(L65&lt;=120,"Tight","Adequate")))</x:f>
        <x:v>At Risk</x:v>
      </x:c>
      <x:c r="P65" s="12" t="str">
        <x:f>IF(O65="Critical","Escalate supply review and confirm allocation",IF(O65="At Risk","Prioritize available inventory and expedite inbound supply",IF(O65="Tight","Monitor demand and expedite purchase orders","Maintain planned replenishment")))</x:f>
        <x:v>Prioritize available inventory and expedite inbound supply</x:v>
      </x:c>
    </x:row>
    <x:row r="66">
      <x:c r="A66" s="8" t="str">
        <x:v>2026-06-14</x:v>
      </x:c>
      <x:c r="B66" t="str">
        <x:v>Central Warehouse C</x:v>
      </x:c>
      <x:c r="C66" t="str">
        <x:v>RX-ONC-500</x:v>
      </x:c>
      <x:c r="D66" t="str">
        <x:v>Product Beta</x:v>
      </x:c>
      <x:c r="E66" t="str">
        <x:v>Refrigerated (2-8 C)</x:v>
      </x:c>
      <x:c r="F66" s="9" t="n">
        <x:v>1175</x:v>
      </x:c>
      <x:c r="G66" s="9" t="n">
        <x:v>0</x:v>
      </x:c>
      <x:c r="H66" s="9" t="n">
        <x:f>F66-G66</x:f>
        <x:v>1175</x:v>
      </x:c>
      <x:c r="I66" s="9" t="n">
        <x:v>54</x:v>
      </x:c>
      <x:c r="J66" s="9" t="n">
        <x:v>36</x:v>
      </x:c>
      <x:c r="K66" s="9" t="n">
        <x:v>452</x:v>
      </x:c>
      <x:c r="L66" s="9" t="n">
        <x:f>M66*30</x:f>
        <x:v>77.98672566371681</x:v>
      </x:c>
      <x:c r="M66" s="10" t="n">
        <x:f>IF(K66=0,0,H66/K66)</x:f>
        <x:v>2.599557522123894</x:v>
      </x:c>
      <x:c r="N66" s="11" t="n">
        <x:v>28</x:v>
      </x:c>
      <x:c r="O66" t="str">
        <x:f>IF(L66&lt;N66,"Critical",IF(L66&lt;=60,"At Risk",IF(L66&lt;=120,"Tight","Adequate")))</x:f>
        <x:v>Tight</x:v>
      </x:c>
      <x:c r="P66" s="12" t="str">
        <x:f>IF(O66="Critical","Escalate supply review and confirm allocation",IF(O66="At Risk","Prioritize available inventory and expedite inbound supply",IF(O66="Tight","Monitor demand and expedite purchase orders","Maintain planned replenishment")))</x:f>
        <x:v>Monitor demand and expedite purchase orders</x:v>
      </x:c>
    </x:row>
    <x:row r="67">
      <x:c r="A67" s="8" t="str">
        <x:v>2026-06-14</x:v>
      </x:c>
      <x:c r="B67" t="str">
        <x:v>Central Warehouse C</x:v>
      </x:c>
      <x:c r="C67" t="str">
        <x:v>BIO-RA-200</x:v>
      </x:c>
      <x:c r="D67" t="str">
        <x:v>Product Gamma</x:v>
      </x:c>
      <x:c r="E67" t="str">
        <x:v>Refrigerated (2-8 C)</x:v>
      </x:c>
      <x:c r="F67" s="9" t="n">
        <x:v>1546</x:v>
      </x:c>
      <x:c r="G67" s="9" t="n">
        <x:v>108</x:v>
      </x:c>
      <x:c r="H67" s="9" t="n">
        <x:f>F67-G67</x:f>
        <x:v>1438</x:v>
      </x:c>
      <x:c r="I67" s="9" t="n">
        <x:v>126</x:v>
      </x:c>
      <x:c r="J67" s="9" t="n">
        <x:v>84</x:v>
      </x:c>
      <x:c r="K67" s="9" t="n">
        <x:v>524</x:v>
      </x:c>
      <x:c r="L67" s="9" t="n">
        <x:f>M67*30</x:f>
        <x:v>82.32824427480917</x:v>
      </x:c>
      <x:c r="M67" s="10" t="n">
        <x:f>IF(K67=0,0,H67/K67)</x:f>
        <x:v>2.7442748091603053</x:v>
      </x:c>
      <x:c r="N67" s="11" t="n">
        <x:v>18</x:v>
      </x:c>
      <x:c r="O67" t="str">
        <x:f>IF(L67&lt;N67,"Critical",IF(L67&lt;=60,"At Risk",IF(L67&lt;=120,"Tight","Adequate")))</x:f>
        <x:v>Tight</x:v>
      </x:c>
      <x:c r="P67" s="12" t="str">
        <x:f>IF(O67="Critical","Escalate supply review and confirm allocation",IF(O67="At Risk","Prioritize available inventory and expedite inbound supply",IF(O67="Tight","Monitor demand and expedite purchase orders","Maintain planned replenishment")))</x:f>
        <x:v>Monitor demand and expedite purchase orders</x:v>
      </x:c>
    </x:row>
    <x:row r="68">
      <x:c r="A68" s="8" t="str">
        <x:v>2026-06-14</x:v>
      </x:c>
      <x:c r="B68" t="str">
        <x:v>Central Warehouse C</x:v>
      </x:c>
      <x:c r="C68" t="str">
        <x:v>RX-CARD-50</x:v>
      </x:c>
      <x:c r="D68" t="str">
        <x:v>Product Delta</x:v>
      </x:c>
      <x:c r="E68" t="str">
        <x:v>Ambient</x:v>
      </x:c>
      <x:c r="F68" s="9" t="n">
        <x:v>1967</x:v>
      </x:c>
      <x:c r="G68" s="9" t="n">
        <x:v>275</x:v>
      </x:c>
      <x:c r="H68" s="9" t="n">
        <x:f>F68-G68</x:f>
        <x:v>1692</x:v>
      </x:c>
      <x:c r="I68" s="9" t="n">
        <x:v>215</x:v>
      </x:c>
      <x:c r="J68" s="9" t="n">
        <x:v>143</x:v>
      </x:c>
      <x:c r="K68" s="9" t="n">
        <x:v>596</x:v>
      </x:c>
      <x:c r="L68" s="9" t="n">
        <x:f>M68*30</x:f>
        <x:v>85.16778523489933</x:v>
      </x:c>
      <x:c r="M68" s="10" t="n">
        <x:f>IF(K68=0,0,H68/K68)</x:f>
        <x:v>2.838926174496644</x:v>
      </x:c>
      <x:c r="N68" s="11" t="n">
        <x:v>7</x:v>
      </x:c>
      <x:c r="O68" t="str">
        <x:f>IF(L68&lt;N68,"Critical",IF(L68&lt;=60,"At Risk",IF(L68&lt;=120,"Tight","Adequate")))</x:f>
        <x:v>Tight</x:v>
      </x:c>
      <x:c r="P68" s="12" t="str">
        <x:f>IF(O68="Critical","Escalate supply review and confirm allocation",IF(O68="At Risk","Prioritize available inventory and expedite inbound supply",IF(O68="Tight","Monitor demand and expedite purchase orders","Maintain planned replenishment")))</x:f>
        <x:v>Monitor demand and expedite purchase orders</x:v>
      </x:c>
    </x:row>
    <x:row r="69">
      <x:c r="A69" s="8" t="str">
        <x:v>2026-06-14</x:v>
      </x:c>
      <x:c r="B69" t="str">
        <x:v>Central Warehouse C</x:v>
      </x:c>
      <x:c r="C69" t="str">
        <x:v>RX-RARE-10</x:v>
      </x:c>
      <x:c r="D69" t="str">
        <x:v>Product Epsilon</x:v>
      </x:c>
      <x:c r="E69" t="str">
        <x:v>Refrigerated (2-8 C)</x:v>
      </x:c>
      <x:c r="F69" s="9" t="n">
        <x:v>334</x:v>
      </x:c>
      <x:c r="G69" s="9" t="n">
        <x:v>70</x:v>
      </x:c>
      <x:c r="H69" s="9" t="n">
        <x:f>F69-G69</x:f>
        <x:v>264</x:v>
      </x:c>
      <x:c r="I69" s="9" t="n">
        <x:v>320</x:v>
      </x:c>
      <x:c r="J69" s="9" t="n">
        <x:v>214</x:v>
      </x:c>
      <x:c r="K69" s="9" t="n">
        <x:v>668</x:v>
      </x:c>
      <x:c r="L69" s="9" t="n">
        <x:f>M69*30</x:f>
        <x:v>11.8562874251497</x:v>
      </x:c>
      <x:c r="M69" s="10" t="n">
        <x:f>IF(K69=0,0,H69/K69)</x:f>
        <x:v>0.39520958083832336</x:v>
      </x:c>
      <x:c r="N69" s="11" t="n">
        <x:v>45</x:v>
      </x:c>
      <x:c r="O69" t="str">
        <x:f>IF(L69&lt;N69,"Critical",IF(L69&lt;=60,"At Risk",IF(L69&lt;=120,"Tight","Adequate")))</x:f>
        <x:v>Critical</x:v>
      </x:c>
      <x:c r="P69" s="12" t="str">
        <x:f>IF(O69="Critical","Escalate supply review and confirm allocation",IF(O69="At Risk","Prioritize available inventory and expedite inbound supply",IF(O69="Tight","Monitor demand and expedite purchase orders","Maintain planned replenishment")))</x:f>
        <x:v>Escalate supply review and confirm allocation</x:v>
      </x:c>
    </x:row>
    <x:row r="70">
      <x:c r="A70" s="8" t="str">
        <x:v>2026-06-14</x:v>
      </x:c>
      <x:c r="B70" t="str">
        <x:v>Central Warehouse C</x:v>
      </x:c>
      <x:c r="C70" t="str">
        <x:v>DX-COMP-01</x:v>
      </x:c>
      <x:c r="D70" t="str">
        <x:v>Product Zeta</x:v>
      </x:c>
      <x:c r="E70" t="str">
        <x:v>Ambient</x:v>
      </x:c>
      <x:c r="F70" s="9" t="n">
        <x:v>629</x:v>
      </x:c>
      <x:c r="G70" s="9" t="n">
        <x:v>176</x:v>
      </x:c>
      <x:c r="H70" s="9" t="n">
        <x:f>F70-G70</x:f>
        <x:v>453</x:v>
      </x:c>
      <x:c r="I70" s="9" t="n">
        <x:v>0</x:v>
      </x:c>
      <x:c r="J70" s="9" t="n">
        <x:v>0</x:v>
      </x:c>
      <x:c r="K70" s="9" t="n">
        <x:v>740</x:v>
      </x:c>
      <x:c r="L70" s="9" t="n">
        <x:f>M70*30</x:f>
        <x:v>18.364864864864863</x:v>
      </x:c>
      <x:c r="M70" s="10" t="n">
        <x:f>IF(K70=0,0,H70/K70)</x:f>
        <x:v>0.6121621621621621</x:v>
      </x:c>
      <x:c r="N70" s="11" t="n">
        <x:v>10</x:v>
      </x:c>
      <x:c r="O70" t="str">
        <x:f>IF(L70&lt;N70,"Critical",IF(L70&lt;=60,"At Risk",IF(L70&lt;=120,"Tight","Adequate")))</x:f>
        <x:v>At Risk</x:v>
      </x:c>
      <x:c r="P70" s="12" t="str">
        <x:f>IF(O70="Critical","Escalate supply review and confirm allocation",IF(O70="At Risk","Prioritize available inventory and expedite inbound supply",IF(O70="Tight","Monitor demand and expedite purchase orders","Maintain planned replenishment")))</x:f>
        <x:v>Prioritize available inventory and expedite inbound supply</x:v>
      </x:c>
    </x:row>
    <x:row r="71">
      <x:c r="A71" s="8" t="str">
        <x:v>2026-06-14</x:v>
      </x:c>
      <x:c r="B71" t="str">
        <x:v>Central Warehouse C</x:v>
      </x:c>
      <x:c r="C71" t="str">
        <x:v>RX-HOSP-20</x:v>
      </x:c>
      <x:c r="D71" t="str">
        <x:v>Product Eta</x:v>
      </x:c>
      <x:c r="E71" t="str">
        <x:v>Ambient</x:v>
      </x:c>
      <x:c r="F71" s="9" t="n">
        <x:v>974</x:v>
      </x:c>
      <x:c r="G71" s="9" t="n">
        <x:v>341</x:v>
      </x:c>
      <x:c r="H71" s="9" t="n">
        <x:f>F71-G71</x:f>
        <x:v>633</x:v>
      </x:c>
      <x:c r="I71" s="9" t="n">
        <x:v>97</x:v>
      </x:c>
      <x:c r="J71" s="9" t="n">
        <x:v>65</x:v>
      </x:c>
      <x:c r="K71" s="9" t="n">
        <x:v>812</x:v>
      </x:c>
      <x:c r="L71" s="9" t="n">
        <x:f>M71*30</x:f>
        <x:v>23.38669950738916</x:v>
      </x:c>
      <x:c r="M71" s="10" t="n">
        <x:f>IF(K71=0,0,H71/K71)</x:f>
        <x:v>0.7795566502463054</x:v>
      </x:c>
      <x:c r="N71" s="11" t="n">
        <x:v>14</x:v>
      </x:c>
      <x:c r="O71" t="str">
        <x:f>IF(L71&lt;N71,"Critical",IF(L71&lt;=60,"At Risk",IF(L71&lt;=120,"Tight","Adequate")))</x:f>
        <x:v>At Risk</x:v>
      </x:c>
      <x:c r="P71" s="12" t="str">
        <x:f>IF(O71="Critical","Escalate supply review and confirm allocation",IF(O71="At Risk","Prioritize available inventory and expedite inbound supply",IF(O71="Tight","Monitor demand and expedite purchase orders","Maintain planned replenishment")))</x:f>
        <x:v>Prioritize available inventory and expedite inbound supply</x:v>
      </x:c>
    </x:row>
    <x:row r="72">
      <x:c r="A72" s="8" t="str">
        <x:v>2026-06-14</x:v>
      </x:c>
      <x:c r="B72" t="str">
        <x:v>Central Warehouse C</x:v>
      </x:c>
      <x:c r="C72" t="str">
        <x:v>BIO-DERM-80</x:v>
      </x:c>
      <x:c r="D72" t="str">
        <x:v>Product Theta</x:v>
      </x:c>
      <x:c r="E72" t="str">
        <x:v>Refrigerated (2-8 C)</x:v>
      </x:c>
      <x:c r="F72" s="9" t="n">
        <x:v>1370</x:v>
      </x:c>
      <x:c r="G72" s="9" t="n">
        <x:v>0</x:v>
      </x:c>
      <x:c r="H72" s="9" t="n">
        <x:f>F72-G72</x:f>
        <x:v>1370</x:v>
      </x:c>
      <x:c r="I72" s="9" t="n">
        <x:v>212</x:v>
      </x:c>
      <x:c r="J72" s="9" t="n">
        <x:v>142</x:v>
      </x:c>
      <x:c r="K72" s="9" t="n">
        <x:v>884</x:v>
      </x:c>
      <x:c r="L72" s="9" t="n">
        <x:f>M72*30</x:f>
        <x:v>46.49321266968326</x:v>
      </x:c>
      <x:c r="M72" s="10" t="n">
        <x:f>IF(K72=0,0,H72/K72)</x:f>
        <x:v>1.5497737556561086</x:v>
      </x:c>
      <x:c r="N72" s="11" t="n">
        <x:v>16</x:v>
      </x:c>
      <x:c r="O72" t="str">
        <x:f>IF(L72&lt;N72,"Critical",IF(L72&lt;=60,"At Risk",IF(L72&lt;=120,"Tight","Adequate")))</x:f>
        <x:v>At Risk</x:v>
      </x:c>
      <x:c r="P72" s="12" t="str">
        <x:f>IF(O72="Critical","Escalate supply review and confirm allocation",IF(O72="At Risk","Prioritize available inventory and expedite inbound supply",IF(O72="Tight","Monitor demand and expedite purchase orders","Maintain planned replenishment")))</x:f>
        <x:v>Prioritize available inventory and expedite inbound supply</x:v>
      </x:c>
    </x:row>
    <x:row r="73">
      <x:c r="A73" s="8" t="str">
        <x:v>2026-06-14</x:v>
      </x:c>
      <x:c r="B73" t="str">
        <x:v>Central Warehouse C</x:v>
      </x:c>
      <x:c r="C73" t="str">
        <x:v>RX-ONC-ORAL</x:v>
      </x:c>
      <x:c r="D73" t="str">
        <x:v>Product Iota</x:v>
      </x:c>
      <x:c r="E73" t="str">
        <x:v>Ambient</x:v>
      </x:c>
      <x:c r="F73" s="9" t="n">
        <x:v>1816</x:v>
      </x:c>
      <x:c r="G73" s="9" t="n">
        <x:v>127</x:v>
      </x:c>
      <x:c r="H73" s="9" t="n">
        <x:f>F73-G73</x:f>
        <x:v>1689</x:v>
      </x:c>
      <x:c r="I73" s="9" t="n">
        <x:v>344</x:v>
      </x:c>
      <x:c r="J73" s="9" t="n">
        <x:v>230</x:v>
      </x:c>
      <x:c r="K73" s="9" t="n">
        <x:v>956</x:v>
      </x:c>
      <x:c r="L73" s="9" t="n">
        <x:f>M73*30</x:f>
        <x:v>53.00209205020921</x:v>
      </x:c>
      <x:c r="M73" s="10" t="n">
        <x:f>IF(K73=0,0,H73/K73)</x:f>
        <x:v>1.7667364016736402</x:v>
      </x:c>
      <x:c r="N73" s="11" t="n">
        <x:v>12</x:v>
      </x:c>
      <x:c r="O73" t="str">
        <x:f>IF(L73&lt;N73,"Critical",IF(L73&lt;=60,"At Risk",IF(L73&lt;=120,"Tight","Adequate")))</x:f>
        <x:v>At Risk</x:v>
      </x:c>
      <x:c r="P73" s="12" t="str">
        <x:f>IF(O73="Critical","Escalate supply review and confirm allocation",IF(O73="At Risk","Prioritize available inventory and expedite inbound supply",IF(O73="Tight","Monitor demand and expedite purchase orders","Maintain planned replenishment")))</x:f>
        <x:v>Prioritize available inventory and expedite inbound supply</x:v>
      </x:c>
    </x:row>
    <x:row r="74">
      <x:c r="A74" s="8" t="str">
        <x:v>2026-06-14</x:v>
      </x:c>
      <x:c r="B74" t="str">
        <x:v>Central Warehouse C</x:v>
      </x:c>
      <x:c r="C74" t="str">
        <x:v>RX-RARE-INF</x:v>
      </x:c>
      <x:c r="D74" t="str">
        <x:v>Product Kappa</x:v>
      </x:c>
      <x:c r="E74" t="str">
        <x:v>Refrigerated (2-8 C)</x:v>
      </x:c>
      <x:c r="F74" s="9" t="n">
        <x:v>176</x:v>
      </x:c>
      <x:c r="G74" s="9" t="n">
        <x:v>25</x:v>
      </x:c>
      <x:c r="H74" s="9" t="n">
        <x:f>F74-G74</x:f>
        <x:v>151</x:v>
      </x:c>
      <x:c r="I74" s="9" t="n">
        <x:v>37</x:v>
      </x:c>
      <x:c r="J74" s="9" t="n">
        <x:v>25</x:v>
      </x:c>
      <x:c r="K74" s="9" t="n">
        <x:v>78</x:v>
      </x:c>
      <x:c r="L74" s="9" t="n">
        <x:f>M74*30</x:f>
        <x:v>58.07692307692308</x:v>
      </x:c>
      <x:c r="M74" s="10" t="n">
        <x:f>IF(K74=0,0,H74/K74)</x:f>
        <x:v>1.935897435897436</x:v>
      </x:c>
      <x:c r="N74" s="11" t="n">
        <x:v>60</x:v>
      </x:c>
      <x:c r="O74" t="str">
        <x:f>IF(L74&lt;N74,"Critical",IF(L74&lt;=60,"At Risk",IF(L74&lt;=120,"Tight","Adequate")))</x:f>
        <x:v>Critical</x:v>
      </x:c>
      <x:c r="P74" s="12" t="str">
        <x:f>IF(O74="Critical","Escalate supply review and confirm allocation",IF(O74="At Risk","Prioritize available inventory and expedite inbound supply",IF(O74="Tight","Monitor demand and expedite purchase orders","Maintain planned replenishment")))</x:f>
        <x:v>Escalate supply review and confirm allocation</x:v>
      </x:c>
    </x:row>
    <x:row r="75">
      <x:c r="A75" s="8" t="str">
        <x:v>2026-06-14</x:v>
      </x:c>
      <x:c r="B75" t="str">
        <x:v>Central Warehouse C</x:v>
      </x:c>
      <x:c r="C75" t="str">
        <x:v>DX-GENE-02</x:v>
      </x:c>
      <x:c r="D75" t="str">
        <x:v>Product Lambda</x:v>
      </x:c>
      <x:c r="E75" t="str">
        <x:v>Ambient</x:v>
      </x:c>
      <x:c r="F75" s="9" t="n">
        <x:v>390</x:v>
      </x:c>
      <x:c r="G75" s="9" t="n">
        <x:v>82</x:v>
      </x:c>
      <x:c r="H75" s="9" t="n">
        <x:f>F75-G75</x:f>
        <x:v>308</x:v>
      </x:c>
      <x:c r="I75" s="9" t="n">
        <x:v>0</x:v>
      </x:c>
      <x:c r="J75" s="9" t="n">
        <x:v>0</x:v>
      </x:c>
      <x:c r="K75" s="9" t="n">
        <x:v>150</x:v>
      </x:c>
      <x:c r="L75" s="9" t="n">
        <x:f>M75*30</x:f>
        <x:v>61.599999999999994</x:v>
      </x:c>
      <x:c r="M75" s="10" t="n">
        <x:f>IF(K75=0,0,H75/K75)</x:f>
        <x:v>2.0533333333333332</x:v>
      </x:c>
      <x:c r="N75" s="11" t="n">
        <x:v>12</x:v>
      </x:c>
      <x:c r="O75" t="str">
        <x:f>IF(L75&lt;N75,"Critical",IF(L75&lt;=60,"At Risk",IF(L75&lt;=120,"Tight","Adequate")))</x:f>
        <x:v>Tight</x:v>
      </x:c>
      <x:c r="P75" s="12" t="str">
        <x:f>IF(O75="Critical","Escalate supply review and confirm allocation",IF(O75="At Risk","Prioritize available inventory and expedite inbound supply",IF(O75="Tight","Monitor demand and expedite purchase orders","Maintain planned replenishment")))</x:f>
        <x:v>Monitor demand and expedite purchase orders</x:v>
      </x:c>
    </x:row>
    <x:row r="76">
      <x:c r="A76" s="8" t="str">
        <x:v>2026-06-14</x:v>
      </x:c>
      <x:c r="B76" t="str">
        <x:v>Central Warehouse C</x:v>
      </x:c>
      <x:c r="C76" t="str">
        <x:v>SVC-PAT-01</x:v>
      </x:c>
      <x:c r="D76" t="str">
        <x:v>Product Mu</x:v>
      </x:c>
      <x:c r="E76" t="str">
        <x:v>Not Applicable</x:v>
      </x:c>
      <x:c r="F76" s="9" t="n">
        <x:v>655</x:v>
      </x:c>
      <x:c r="G76" s="9" t="n">
        <x:v>183</x:v>
      </x:c>
      <x:c r="H76" s="9" t="n">
        <x:f>F76-G76</x:f>
        <x:v>472</x:v>
      </x:c>
      <x:c r="I76" s="9" t="n">
        <x:v>26</x:v>
      </x:c>
      <x:c r="J76" s="9" t="n">
        <x:v>18</x:v>
      </x:c>
      <x:c r="K76" s="9" t="n">
        <x:v>222</x:v>
      </x:c>
      <x:c r="L76" s="9" t="n">
        <x:f>M76*30</x:f>
        <x:v>63.78378378378378</x:v>
      </x:c>
      <x:c r="M76" s="10" t="n">
        <x:f>IF(K76=0,0,H76/K76)</x:f>
        <x:v>2.126126126126126</x:v>
      </x:c>
      <x:c r="N76" s="11" t="n">
        <x:v>14</x:v>
      </x:c>
      <x:c r="O76" t="str">
        <x:f>IF(L76&lt;N76,"Critical",IF(L76&lt;=60,"At Risk",IF(L76&lt;=120,"Tight","Adequate")))</x:f>
        <x:v>Tight</x:v>
      </x:c>
      <x:c r="P76" s="12" t="str">
        <x:f>IF(O76="Critical","Escalate supply review and confirm allocation",IF(O76="At Risk","Prioritize available inventory and expedite inbound supply",IF(O76="Tight","Monitor demand and expedite purchase orders","Maintain planned replenishment")))</x:f>
        <x:v>Monitor demand and expedite purchase orders</x:v>
      </x:c>
    </x:row>
    <x:row r="77">
      <x:c r="A77" s="8" t="str">
        <x:v>2026-06-14</x:v>
      </x:c>
      <x:c r="B77" t="str">
        <x:v>Distribution Warehouse C</x:v>
      </x:c>
      <x:c r="C77" t="str">
        <x:v>RX-ONC-100</x:v>
      </x:c>
      <x:c r="D77" t="str">
        <x:v>Product Alpha</x:v>
      </x:c>
      <x:c r="E77" t="str">
        <x:v>Refrigerated (2-8 C)</x:v>
      </x:c>
      <x:c r="F77" s="9" t="n">
        <x:v>1105</x:v>
      </x:c>
      <x:c r="G77" s="9" t="n">
        <x:v>0</x:v>
      </x:c>
      <x:c r="H77" s="9" t="n">
        <x:f>F77-G77</x:f>
        <x:v>1105</x:v>
      </x:c>
      <x:c r="I77" s="9" t="n">
        <x:v>51</x:v>
      </x:c>
      <x:c r="J77" s="9" t="n">
        <x:v>34</x:v>
      </x:c>
      <x:c r="K77" s="9" t="n">
        <x:v>425</x:v>
      </x:c>
      <x:c r="L77" s="9" t="n">
        <x:f>M77*30</x:f>
        <x:v>78</x:v>
      </x:c>
      <x:c r="M77" s="10" t="n">
        <x:f>IF(K77=0,0,H77/K77)</x:f>
        <x:v>2.6</x:v>
      </x:c>
      <x:c r="N77" s="11" t="n">
        <x:v>21</x:v>
      </x:c>
      <x:c r="O77" t="str">
        <x:f>IF(L77&lt;N77,"Critical",IF(L77&lt;=60,"At Risk",IF(L77&lt;=120,"Tight","Adequate")))</x:f>
        <x:v>Tight</x:v>
      </x:c>
      <x:c r="P77" s="12" t="str">
        <x:f>IF(O77="Critical","Escalate supply review and confirm allocation",IF(O77="At Risk","Prioritize available inventory and expedite inbound supply",IF(O77="Tight","Monitor demand and expedite purchase orders","Maintain planned replenishment")))</x:f>
        <x:v>Monitor demand and expedite purchase orders</x:v>
      </x:c>
    </x:row>
    <x:row r="78">
      <x:c r="A78" s="8" t="str">
        <x:v>2026-06-14</x:v>
      </x:c>
      <x:c r="B78" t="str">
        <x:v>Distribution Warehouse C</x:v>
      </x:c>
      <x:c r="C78" t="str">
        <x:v>RX-ONC-500</x:v>
      </x:c>
      <x:c r="D78" t="str">
        <x:v>Product Beta</x:v>
      </x:c>
      <x:c r="E78" t="str">
        <x:v>Refrigerated (2-8 C)</x:v>
      </x:c>
      <x:c r="F78" s="9" t="n">
        <x:v>1493</x:v>
      </x:c>
      <x:c r="G78" s="9" t="n">
        <x:v>105</x:v>
      </x:c>
      <x:c r="H78" s="9" t="n">
        <x:f>F78-G78</x:f>
        <x:v>1388</x:v>
      </x:c>
      <x:c r="I78" s="9" t="n">
        <x:v>121</x:v>
      </x:c>
      <x:c r="J78" s="9" t="n">
        <x:v>81</x:v>
      </x:c>
      <x:c r="K78" s="9" t="n">
        <x:v>506</x:v>
      </x:c>
      <x:c r="L78" s="9" t="n">
        <x:f>M78*30</x:f>
        <x:v>82.29249011857708</x:v>
      </x:c>
      <x:c r="M78" s="10" t="n">
        <x:f>IF(K78=0,0,H78/K78)</x:f>
        <x:v>2.7430830039525693</x:v>
      </x:c>
      <x:c r="N78" s="11" t="n">
        <x:v>28</x:v>
      </x:c>
      <x:c r="O78" t="str">
        <x:f>IF(L78&lt;N78,"Critical",IF(L78&lt;=60,"At Risk",IF(L78&lt;=120,"Tight","Adequate")))</x:f>
        <x:v>Tight</x:v>
      </x:c>
      <x:c r="P78" s="12" t="str">
        <x:f>IF(O78="Critical","Escalate supply review and confirm allocation",IF(O78="At Risk","Prioritize available inventory and expedite inbound supply",IF(O78="Tight","Monitor demand and expedite purchase orders","Maintain planned replenishment")))</x:f>
        <x:v>Monitor demand and expedite purchase orders</x:v>
      </x:c>
    </x:row>
    <x:row r="79">
      <x:c r="A79" s="8" t="str">
        <x:v>2026-06-14</x:v>
      </x:c>
      <x:c r="B79" t="str">
        <x:v>Distribution Warehouse C</x:v>
      </x:c>
      <x:c r="C79" t="str">
        <x:v>BIO-RA-200</x:v>
      </x:c>
      <x:c r="D79" t="str">
        <x:v>Product Gamma</x:v>
      </x:c>
      <x:c r="E79" t="str">
        <x:v>Refrigerated (2-8 C)</x:v>
      </x:c>
      <x:c r="F79" s="9" t="n">
        <x:v>1937</x:v>
      </x:c>
      <x:c r="G79" s="9" t="n">
        <x:v>271</x:v>
      </x:c>
      <x:c r="H79" s="9" t="n">
        <x:f>F79-G79</x:f>
        <x:v>1666</x:v>
      </x:c>
      <x:c r="I79" s="9" t="n">
        <x:v>211</x:v>
      </x:c>
      <x:c r="J79" s="9" t="n">
        <x:v>141</x:v>
      </x:c>
      <x:c r="K79" s="9" t="n">
        <x:v>587</x:v>
      </x:c>
      <x:c r="L79" s="9" t="n">
        <x:f>M79*30</x:f>
        <x:v>85.14480408858604</x:v>
      </x:c>
      <x:c r="M79" s="10" t="n">
        <x:f>IF(K79=0,0,H79/K79)</x:f>
        <x:v>2.8381601362862012</x:v>
      </x:c>
      <x:c r="N79" s="11" t="n">
        <x:v>18</x:v>
      </x:c>
      <x:c r="O79" t="str">
        <x:f>IF(L79&lt;N79,"Critical",IF(L79&lt;=60,"At Risk",IF(L79&lt;=120,"Tight","Adequate")))</x:f>
        <x:v>Tight</x:v>
      </x:c>
      <x:c r="P79" s="12" t="str">
        <x:f>IF(O79="Critical","Escalate supply review and confirm allocation",IF(O79="At Risk","Prioritize available inventory and expedite inbound supply",IF(O79="Tight","Monitor demand and expedite purchase orders","Maintain planned replenishment")))</x:f>
        <x:v>Monitor demand and expedite purchase orders</x:v>
      </x:c>
    </x:row>
    <x:row r="80">
      <x:c r="A80" s="8" t="str">
        <x:v>2026-06-14</x:v>
      </x:c>
      <x:c r="B80" t="str">
        <x:v>Distribution Warehouse C</x:v>
      </x:c>
      <x:c r="C80" t="str">
        <x:v>RX-CARD-50</x:v>
      </x:c>
      <x:c r="D80" t="str">
        <x:v>Product Delta</x:v>
      </x:c>
      <x:c r="E80" t="str">
        <x:v>Ambient</x:v>
      </x:c>
      <x:c r="F80" s="9" t="n">
        <x:v>334</x:v>
      </x:c>
      <x:c r="G80" s="9" t="n">
        <x:v>70</x:v>
      </x:c>
      <x:c r="H80" s="9" t="n">
        <x:f>F80-G80</x:f>
        <x:v>264</x:v>
      </x:c>
      <x:c r="I80" s="9" t="n">
        <x:v>320</x:v>
      </x:c>
      <x:c r="J80" s="9" t="n">
        <x:v>214</x:v>
      </x:c>
      <x:c r="K80" s="9" t="n">
        <x:v>668</x:v>
      </x:c>
      <x:c r="L80" s="9" t="n">
        <x:f>M80*30</x:f>
        <x:v>11.8562874251497</x:v>
      </x:c>
      <x:c r="M80" s="10" t="n">
        <x:f>IF(K80=0,0,H80/K80)</x:f>
        <x:v>0.39520958083832336</x:v>
      </x:c>
      <x:c r="N80" s="11" t="n">
        <x:v>7</x:v>
      </x:c>
      <x:c r="O80" t="str">
        <x:f>IF(L80&lt;N80,"Critical",IF(L80&lt;=60,"At Risk",IF(L80&lt;=120,"Tight","Adequate")))</x:f>
        <x:v>At Risk</x:v>
      </x:c>
      <x:c r="P80" s="12" t="str">
        <x:f>IF(O80="Critical","Escalate supply review and confirm allocation",IF(O80="At Risk","Prioritize available inventory and expedite inbound supply",IF(O80="Tight","Monitor demand and expedite purchase orders","Maintain planned replenishment")))</x:f>
        <x:v>Prioritize available inventory and expedite inbound supply</x:v>
      </x:c>
    </x:row>
    <x:row r="81">
      <x:c r="A81" s="8" t="str">
        <x:v>2026-06-14</x:v>
      </x:c>
      <x:c r="B81" t="str">
        <x:v>Distribution Warehouse C</x:v>
      </x:c>
      <x:c r="C81" t="str">
        <x:v>RX-RARE-10</x:v>
      </x:c>
      <x:c r="D81" t="str">
        <x:v>Product Epsilon</x:v>
      </x:c>
      <x:c r="E81" t="str">
        <x:v>Refrigerated (2-8 C)</x:v>
      </x:c>
      <x:c r="F81" s="9" t="n">
        <x:v>637</x:v>
      </x:c>
      <x:c r="G81" s="9" t="n">
        <x:v>178</x:v>
      </x:c>
      <x:c r="H81" s="9" t="n">
        <x:f>F81-G81</x:f>
        <x:v>459</x:v>
      </x:c>
      <x:c r="I81" s="9" t="n">
        <x:v>0</x:v>
      </x:c>
      <x:c r="J81" s="9" t="n">
        <x:v>0</x:v>
      </x:c>
      <x:c r="K81" s="9" t="n">
        <x:v>749</x:v>
      </x:c>
      <x:c r="L81" s="9" t="n">
        <x:f>M81*30</x:f>
        <x:v>18.384512683578105</x:v>
      </x:c>
      <x:c r="M81" s="10" t="n">
        <x:f>IF(K81=0,0,H81/K81)</x:f>
        <x:v>0.6128170894526035</x:v>
      </x:c>
      <x:c r="N81" s="11" t="n">
        <x:v>45</x:v>
      </x:c>
      <x:c r="O81" t="str">
        <x:f>IF(L81&lt;N81,"Critical",IF(L81&lt;=60,"At Risk",IF(L81&lt;=120,"Tight","Adequate")))</x:f>
        <x:v>Critical</x:v>
      </x:c>
      <x:c r="P81" s="12" t="str">
        <x:f>IF(O81="Critical","Escalate supply review and confirm allocation",IF(O81="At Risk","Prioritize available inventory and expedite inbound supply",IF(O81="Tight","Monitor demand and expedite purchase orders","Maintain planned replenishment")))</x:f>
        <x:v>Escalate supply review and confirm allocation</x:v>
      </x:c>
    </x:row>
    <x:row r="82">
      <x:c r="A82" s="8" t="str">
        <x:v>2026-06-14</x:v>
      </x:c>
      <x:c r="B82" t="str">
        <x:v>Distribution Warehouse C</x:v>
      </x:c>
      <x:c r="C82" t="str">
        <x:v>DX-COMP-01</x:v>
      </x:c>
      <x:c r="D82" t="str">
        <x:v>Product Zeta</x:v>
      </x:c>
      <x:c r="E82" t="str">
        <x:v>Ambient</x:v>
      </x:c>
      <x:c r="F82" s="9" t="n">
        <x:v>996</x:v>
      </x:c>
      <x:c r="G82" s="9" t="n">
        <x:v>349</x:v>
      </x:c>
      <x:c r="H82" s="9" t="n">
        <x:f>F82-G82</x:f>
        <x:v>647</x:v>
      </x:c>
      <x:c r="I82" s="9" t="n">
        <x:v>100</x:v>
      </x:c>
      <x:c r="J82" s="9" t="n">
        <x:v>66</x:v>
      </x:c>
      <x:c r="K82" s="9" t="n">
        <x:v>830</x:v>
      </x:c>
      <x:c r="L82" s="9" t="n">
        <x:f>M82*30</x:f>
        <x:v>23.385542168674696</x:v>
      </x:c>
      <x:c r="M82" s="10" t="n">
        <x:f>IF(K82=0,0,H82/K82)</x:f>
        <x:v>0.7795180722891566</x:v>
      </x:c>
      <x:c r="N82" s="11" t="n">
        <x:v>10</x:v>
      </x:c>
      <x:c r="O82" t="str">
        <x:f>IF(L82&lt;N82,"Critical",IF(L82&lt;=60,"At Risk",IF(L82&lt;=120,"Tight","Adequate")))</x:f>
        <x:v>At Risk</x:v>
      </x:c>
      <x:c r="P82" s="12" t="str">
        <x:f>IF(O82="Critical","Escalate supply review and confirm allocation",IF(O82="At Risk","Prioritize available inventory and expedite inbound supply",IF(O82="Tight","Monitor demand and expedite purchase orders","Maintain planned replenishment")))</x:f>
        <x:v>Prioritize available inventory and expedite inbound supply</x:v>
      </x:c>
    </x:row>
    <x:row r="83">
      <x:c r="A83" s="8" t="str">
        <x:v>2026-06-14</x:v>
      </x:c>
      <x:c r="B83" t="str">
        <x:v>Distribution Warehouse C</x:v>
      </x:c>
      <x:c r="C83" t="str">
        <x:v>RX-HOSP-20</x:v>
      </x:c>
      <x:c r="D83" t="str">
        <x:v>Product Eta</x:v>
      </x:c>
      <x:c r="E83" t="str">
        <x:v>Ambient</x:v>
      </x:c>
      <x:c r="F83" s="9" t="n">
        <x:v>1412</x:v>
      </x:c>
      <x:c r="G83" s="9" t="n">
        <x:v>0</x:v>
      </x:c>
      <x:c r="H83" s="9" t="n">
        <x:f>F83-G83</x:f>
        <x:v>1412</x:v>
      </x:c>
      <x:c r="I83" s="9" t="n">
        <x:v>218</x:v>
      </x:c>
      <x:c r="J83" s="9" t="n">
        <x:v>146</x:v>
      </x:c>
      <x:c r="K83" s="9" t="n">
        <x:v>911</x:v>
      </x:c>
      <x:c r="L83" s="9" t="n">
        <x:f>M83*30</x:f>
        <x:v>46.498353457738745</x:v>
      </x:c>
      <x:c r="M83" s="10" t="n">
        <x:f>IF(K83=0,0,H83/K83)</x:f>
        <x:v>1.5499451152579582</x:v>
      </x:c>
      <x:c r="N83" s="11" t="n">
        <x:v>14</x:v>
      </x:c>
      <x:c r="O83" t="str">
        <x:f>IF(L83&lt;N83,"Critical",IF(L83&lt;=60,"At Risk",IF(L83&lt;=120,"Tight","Adequate")))</x:f>
        <x:v>At Risk</x:v>
      </x:c>
      <x:c r="P83" s="12" t="str">
        <x:f>IF(O83="Critical","Escalate supply review and confirm allocation",IF(O83="At Risk","Prioritize available inventory and expedite inbound supply",IF(O83="Tight","Monitor demand and expedite purchase orders","Maintain planned replenishment")))</x:f>
        <x:v>Prioritize available inventory and expedite inbound supply</x:v>
      </x:c>
    </x:row>
    <x:row r="84">
      <x:c r="A84" s="8" t="str">
        <x:v>2026-06-14</x:v>
      </x:c>
      <x:c r="B84" t="str">
        <x:v>Distribution Warehouse C</x:v>
      </x:c>
      <x:c r="C84" t="str">
        <x:v>BIO-DERM-80</x:v>
      </x:c>
      <x:c r="D84" t="str">
        <x:v>Product Theta</x:v>
      </x:c>
      <x:c r="E84" t="str">
        <x:v>Refrigerated (2-8 C)</x:v>
      </x:c>
      <x:c r="F84" s="9" t="n">
        <x:v>80</x:v>
      </x:c>
      <x:c r="G84" s="9" t="n">
        <x:v>6</x:v>
      </x:c>
      <x:c r="H84" s="9" t="n">
        <x:f>F84-G84</x:f>
        <x:v>74</x:v>
      </x:c>
      <x:c r="I84" s="9" t="n">
        <x:v>15</x:v>
      </x:c>
      <x:c r="J84" s="9" t="n">
        <x:v>10</x:v>
      </x:c>
      <x:c r="K84" s="9" t="n">
        <x:v>42</x:v>
      </x:c>
      <x:c r="L84" s="9" t="n">
        <x:f>M84*30</x:f>
        <x:v>52.857142857142854</x:v>
      </x:c>
      <x:c r="M84" s="10" t="n">
        <x:f>IF(K84=0,0,H84/K84)</x:f>
        <x:v>1.7619047619047619</x:v>
      </x:c>
      <x:c r="N84" s="11" t="n">
        <x:v>16</x:v>
      </x:c>
      <x:c r="O84" t="str">
        <x:f>IF(L84&lt;N84,"Critical",IF(L84&lt;=60,"At Risk",IF(L84&lt;=120,"Tight","Adequate")))</x:f>
        <x:v>At Risk</x:v>
      </x:c>
      <x:c r="P84" s="12" t="str">
        <x:f>IF(O84="Critical","Escalate supply review and confirm allocation",IF(O84="At Risk","Prioritize available inventory and expedite inbound supply",IF(O84="Tight","Monitor demand and expedite purchase orders","Maintain planned replenishment")))</x:f>
        <x:v>Prioritize available inventory and expedite inbound supply</x:v>
      </x:c>
    </x:row>
    <x:row r="85">
      <x:c r="A85" s="8" t="str">
        <x:v>2026-06-14</x:v>
      </x:c>
      <x:c r="B85" t="str">
        <x:v>Distribution Warehouse C</x:v>
      </x:c>
      <x:c r="C85" t="str">
        <x:v>RX-ONC-ORAL</x:v>
      </x:c>
      <x:c r="D85" t="str">
        <x:v>Product Iota</x:v>
      </x:c>
      <x:c r="E85" t="str">
        <x:v>Ambient</x:v>
      </x:c>
      <x:c r="F85" s="9" t="n">
        <x:v>277</x:v>
      </x:c>
      <x:c r="G85" s="9" t="n">
        <x:v>39</x:v>
      </x:c>
      <x:c r="H85" s="9" t="n">
        <x:f>F85-G85</x:f>
        <x:v>238</x:v>
      </x:c>
      <x:c r="I85" s="9" t="n">
        <x:v>59</x:v>
      </x:c>
      <x:c r="J85" s="9" t="n">
        <x:v>39</x:v>
      </x:c>
      <x:c r="K85" s="9" t="n">
        <x:v>123</x:v>
      </x:c>
      <x:c r="L85" s="9" t="n">
        <x:f>M85*30</x:f>
        <x:v>58.04878048780488</x:v>
      </x:c>
      <x:c r="M85" s="10" t="n">
        <x:f>IF(K85=0,0,H85/K85)</x:f>
        <x:v>1.934959349593496</x:v>
      </x:c>
      <x:c r="N85" s="11" t="n">
        <x:v>12</x:v>
      </x:c>
      <x:c r="O85" t="str">
        <x:f>IF(L85&lt;N85,"Critical",IF(L85&lt;=60,"At Risk",IF(L85&lt;=120,"Tight","Adequate")))</x:f>
        <x:v>At Risk</x:v>
      </x:c>
      <x:c r="P85" s="12" t="str">
        <x:f>IF(O85="Critical","Escalate supply review and confirm allocation",IF(O85="At Risk","Prioritize available inventory and expedite inbound supply",IF(O85="Tight","Monitor demand and expedite purchase orders","Maintain planned replenishment")))</x:f>
        <x:v>Prioritize available inventory and expedite inbound supply</x:v>
      </x:c>
    </x:row>
    <x:row r="86">
      <x:c r="A86" s="8" t="str">
        <x:v>2026-06-14</x:v>
      </x:c>
      <x:c r="B86" t="str">
        <x:v>Distribution Warehouse C</x:v>
      </x:c>
      <x:c r="C86" t="str">
        <x:v>RX-RARE-INF</x:v>
      </x:c>
      <x:c r="D86" t="str">
        <x:v>Product Kappa</x:v>
      </x:c>
      <x:c r="E86" t="str">
        <x:v>Refrigerated (2-8 C)</x:v>
      </x:c>
      <x:c r="F86" s="9" t="n">
        <x:v>530</x:v>
      </x:c>
      <x:c r="G86" s="9" t="n">
        <x:v>111</x:v>
      </x:c>
      <x:c r="H86" s="9" t="n">
        <x:f>F86-G86</x:f>
        <x:v>419</x:v>
      </x:c>
      <x:c r="I86" s="9" t="n">
        <x:v>0</x:v>
      </x:c>
      <x:c r="J86" s="9" t="n">
        <x:v>0</x:v>
      </x:c>
      <x:c r="K86" s="9" t="n">
        <x:v>204</x:v>
      </x:c>
      <x:c r="L86" s="9" t="n">
        <x:f>M86*30</x:f>
        <x:v>61.61764705882352</x:v>
      </x:c>
      <x:c r="M86" s="10" t="n">
        <x:f>IF(K86=0,0,H86/K86)</x:f>
        <x:v>2.053921568627451</x:v>
      </x:c>
      <x:c r="N86" s="11" t="n">
        <x:v>60</x:v>
      </x:c>
      <x:c r="O86" t="str">
        <x:f>IF(L86&lt;N86,"Critical",IF(L86&lt;=60,"At Risk",IF(L86&lt;=120,"Tight","Adequate")))</x:f>
        <x:v>Tight</x:v>
      </x:c>
      <x:c r="P86" s="12" t="str">
        <x:f>IF(O86="Critical","Escalate supply review and confirm allocation",IF(O86="At Risk","Prioritize available inventory and expedite inbound supply",IF(O86="Tight","Monitor demand and expedite purchase orders","Maintain planned replenishment")))</x:f>
        <x:v>Monitor demand and expedite purchase orders</x:v>
      </x:c>
    </x:row>
    <x:row r="87">
      <x:c r="A87" s="8" t="str">
        <x:v>2026-06-14</x:v>
      </x:c>
      <x:c r="B87" t="str">
        <x:v>Distribution Warehouse C</x:v>
      </x:c>
      <x:c r="C87" t="str">
        <x:v>DX-GENE-02</x:v>
      </x:c>
      <x:c r="D87" t="str">
        <x:v>Product Lambda</x:v>
      </x:c>
      <x:c r="E87" t="str">
        <x:v>Ambient</x:v>
      </x:c>
      <x:c r="F87" s="9" t="n">
        <x:v>841</x:v>
      </x:c>
      <x:c r="G87" s="9" t="n">
        <x:v>235</x:v>
      </x:c>
      <x:c r="H87" s="9" t="n">
        <x:f>F87-G87</x:f>
        <x:v>606</x:v>
      </x:c>
      <x:c r="I87" s="9" t="n">
        <x:v>34</x:v>
      </x:c>
      <x:c r="J87" s="9" t="n">
        <x:v>23</x:v>
      </x:c>
      <x:c r="K87" s="9" t="n">
        <x:v>285</x:v>
      </x:c>
      <x:c r="L87" s="9" t="n">
        <x:f>M87*30</x:f>
        <x:v>63.78947368421053</x:v>
      </x:c>
      <x:c r="M87" s="10" t="n">
        <x:f>IF(K87=0,0,H87/K87)</x:f>
        <x:v>2.126315789473684</x:v>
      </x:c>
      <x:c r="N87" s="11" t="n">
        <x:v>12</x:v>
      </x:c>
      <x:c r="O87" t="str">
        <x:f>IF(L87&lt;N87,"Critical",IF(L87&lt;=60,"At Risk",IF(L87&lt;=120,"Tight","Adequate")))</x:f>
        <x:v>Tight</x:v>
      </x:c>
      <x:c r="P87" s="12" t="str">
        <x:f>IF(O87="Critical","Escalate supply review and confirm allocation",IF(O87="At Risk","Prioritize available inventory and expedite inbound supply",IF(O87="Tight","Monitor demand and expedite purchase orders","Maintain planned replenishment")))</x:f>
        <x:v>Monitor demand and expedite purchase orders</x:v>
      </x:c>
    </x:row>
    <x:row r="88">
      <x:c r="A88" s="8" t="str">
        <x:v>2026-06-14</x:v>
      </x:c>
      <x:c r="B88" t="str">
        <x:v>Distribution Warehouse C</x:v>
      </x:c>
      <x:c r="C88" t="str">
        <x:v>SVC-PAT-01</x:v>
      </x:c>
      <x:c r="D88" t="str">
        <x:v>Product Mu</x:v>
      </x:c>
      <x:c r="E88" t="str">
        <x:v>Not Applicable</x:v>
      </x:c>
      <x:c r="F88" s="9" t="n">
        <x:v>1208</x:v>
      </x:c>
      <x:c r="G88" s="9" t="n">
        <x:v>423</x:v>
      </x:c>
      <x:c r="H88" s="9" t="n">
        <x:f>F88-G88</x:f>
        <x:v>785</x:v>
      </x:c>
      <x:c r="I88" s="9" t="n">
        <x:v>88</x:v>
      </x:c>
      <x:c r="J88" s="9" t="n">
        <x:v>58</x:v>
      </x:c>
      <x:c r="K88" s="9" t="n">
        <x:v>366</x:v>
      </x:c>
      <x:c r="L88" s="9" t="n">
        <x:f>M88*30</x:f>
        <x:v>64.34426229508196</x:v>
      </x:c>
      <x:c r="M88" s="10" t="n">
        <x:f>IF(K88=0,0,H88/K88)</x:f>
        <x:v>2.1448087431693987</x:v>
      </x:c>
      <x:c r="N88" s="11" t="n">
        <x:v>14</x:v>
      </x:c>
      <x:c r="O88" t="str">
        <x:f>IF(L88&lt;N88,"Critical",IF(L88&lt;=60,"At Risk",IF(L88&lt;=120,"Tight","Adequate")))</x:f>
        <x:v>Tight</x:v>
      </x:c>
      <x:c r="P88" s="12" t="str">
        <x:f>IF(O88="Critical","Escalate supply review and confirm allocation",IF(O88="At Risk","Prioritize available inventory and expedite inbound supply",IF(O88="Tight","Monitor demand and expedite purchase orders","Maintain planned replenishment")))</x:f>
        <x:v>Monitor demand and expedite purchase orders</x:v>
      </x:c>
    </x:row>
    <x:row r="89">
      <x:c r="A89" s="8" t="str">
        <x:v>2026-06-14</x:v>
      </x:c>
      <x:c r="B89" t="str">
        <x:v>Central Warehouse A</x:v>
      </x:c>
      <x:c r="C89" t="str">
        <x:v>RX-ONC-100</x:v>
      </x:c>
      <x:c r="D89" t="str">
        <x:v>Product Alpha</x:v>
      </x:c>
      <x:c r="E89" t="str">
        <x:v>Refrigerated (2-8 C)</x:v>
      </x:c>
      <x:c r="F89" s="9" t="n">
        <x:v>1386</x:v>
      </x:c>
      <x:c r="G89" s="9" t="n">
        <x:v>97</x:v>
      </x:c>
      <x:c r="H89" s="9" t="n">
        <x:f>F89-G89</x:f>
        <x:v>1289</x:v>
      </x:c>
      <x:c r="I89" s="9" t="n">
        <x:v>113</x:v>
      </x:c>
      <x:c r="J89" s="9" t="n">
        <x:v>75</x:v>
      </x:c>
      <x:c r="K89" s="9" t="n">
        <x:v>470</x:v>
      </x:c>
      <x:c r="L89" s="9" t="n">
        <x:f>M89*30</x:f>
        <x:v>82.27659574468085</x:v>
      </x:c>
      <x:c r="M89" s="10" t="n">
        <x:f>IF(K89=0,0,H89/K89)</x:f>
        <x:v>2.7425531914893617</x:v>
      </x:c>
      <x:c r="N89" s="11" t="n">
        <x:v>21</x:v>
      </x:c>
      <x:c r="O89" t="str">
        <x:f>IF(L89&lt;N89,"Critical",IF(L89&lt;=60,"At Risk",IF(L89&lt;=120,"Tight","Adequate")))</x:f>
        <x:v>Tight</x:v>
      </x:c>
      <x:c r="P89" s="12" t="str">
        <x:f>IF(O89="Critical","Escalate supply review and confirm allocation",IF(O89="At Risk","Prioritize available inventory and expedite inbound supply",IF(O89="Tight","Monitor demand and expedite purchase orders","Maintain planned replenishment")))</x:f>
        <x:v>Monitor demand and expedite purchase orders</x:v>
      </x:c>
    </x:row>
    <x:row r="90">
      <x:c r="A90" s="8" t="str">
        <x:v>2026-06-14</x:v>
      </x:c>
      <x:c r="B90" t="str">
        <x:v>Central Warehouse A</x:v>
      </x:c>
      <x:c r="C90" t="str">
        <x:v>RX-ONC-500</x:v>
      </x:c>
      <x:c r="D90" t="str">
        <x:v>Product Beta</x:v>
      </x:c>
      <x:c r="E90" t="str">
        <x:v>Refrigerated (2-8 C)</x:v>
      </x:c>
      <x:c r="F90" s="9" t="n">
        <x:v>1848</x:v>
      </x:c>
      <x:c r="G90" s="9" t="n">
        <x:v>259</x:v>
      </x:c>
      <x:c r="H90" s="9" t="n">
        <x:f>F90-G90</x:f>
        <x:v>1589</x:v>
      </x:c>
      <x:c r="I90" s="9" t="n">
        <x:v>202</x:v>
      </x:c>
      <x:c r="J90" s="9" t="n">
        <x:v>134</x:v>
      </x:c>
      <x:c r="K90" s="9" t="n">
        <x:v>560</x:v>
      </x:c>
      <x:c r="L90" s="9" t="n">
        <x:f>M90*30</x:f>
        <x:v>85.125</x:v>
      </x:c>
      <x:c r="M90" s="10" t="n">
        <x:f>IF(K90=0,0,H90/K90)</x:f>
        <x:v>2.8375</x:v>
      </x:c>
      <x:c r="N90" s="11" t="n">
        <x:v>28</x:v>
      </x:c>
      <x:c r="O90" t="str">
        <x:f>IF(L90&lt;N90,"Critical",IF(L90&lt;=60,"At Risk",IF(L90&lt;=120,"Tight","Adequate")))</x:f>
        <x:v>Tight</x:v>
      </x:c>
      <x:c r="P90" s="12" t="str">
        <x:f>IF(O90="Critical","Escalate supply review and confirm allocation",IF(O90="At Risk","Prioritize available inventory and expedite inbound supply",IF(O90="Tight","Monitor demand and expedite purchase orders","Maintain planned replenishment")))</x:f>
        <x:v>Monitor demand and expedite purchase orders</x:v>
      </x:c>
    </x:row>
    <x:row r="91">
      <x:c r="A91" s="8" t="str">
        <x:v>2026-06-14</x:v>
      </x:c>
      <x:c r="B91" t="str">
        <x:v>Central Warehouse A</x:v>
      </x:c>
      <x:c r="C91" t="str">
        <x:v>BIO-RA-200</x:v>
      </x:c>
      <x:c r="D91" t="str">
        <x:v>Product Gamma</x:v>
      </x:c>
      <x:c r="E91" t="str">
        <x:v>Refrigerated (2-8 C)</x:v>
      </x:c>
      <x:c r="F91" s="9" t="n">
        <x:v>325</x:v>
      </x:c>
      <x:c r="G91" s="9" t="n">
        <x:v>68</x:v>
      </x:c>
      <x:c r="H91" s="9" t="n">
        <x:f>F91-G91</x:f>
        <x:v>257</x:v>
      </x:c>
      <x:c r="I91" s="9" t="n">
        <x:v>312</x:v>
      </x:c>
      <x:c r="J91" s="9" t="n">
        <x:v>208</x:v>
      </x:c>
      <x:c r="K91" s="9" t="n">
        <x:v>650</x:v>
      </x:c>
      <x:c r="L91" s="9" t="n">
        <x:f>M91*30</x:f>
        <x:v>11.861538461538462</x:v>
      </x:c>
      <x:c r="M91" s="10" t="n">
        <x:f>IF(K91=0,0,H91/K91)</x:f>
        <x:v>0.3953846153846154</x:v>
      </x:c>
      <x:c r="N91" s="11" t="n">
        <x:v>18</x:v>
      </x:c>
      <x:c r="O91" t="str">
        <x:f>IF(L91&lt;N91,"Critical",IF(L91&lt;=60,"At Risk",IF(L91&lt;=120,"Tight","Adequate")))</x:f>
        <x:v>Critical</x:v>
      </x:c>
      <x:c r="P91" s="12" t="str">
        <x:f>IF(O91="Critical","Escalate supply review and confirm allocation",IF(O91="At Risk","Prioritize available inventory and expedite inbound supply",IF(O91="Tight","Monitor demand and expedite purchase orders","Maintain planned replenishment")))</x:f>
        <x:v>Escalate supply review and confirm allocation</x:v>
      </x:c>
    </x:row>
    <x:row r="92">
      <x:c r="A92" s="8" t="str">
        <x:v>2026-06-14</x:v>
      </x:c>
      <x:c r="B92" t="str">
        <x:v>Central Warehouse A</x:v>
      </x:c>
      <x:c r="C92" t="str">
        <x:v>RX-CARD-50</x:v>
      </x:c>
      <x:c r="D92" t="str">
        <x:v>Product Delta</x:v>
      </x:c>
      <x:c r="E92" t="str">
        <x:v>Ambient</x:v>
      </x:c>
      <x:c r="F92" s="9" t="n">
        <x:v>629</x:v>
      </x:c>
      <x:c r="G92" s="9" t="n">
        <x:v>176</x:v>
      </x:c>
      <x:c r="H92" s="9" t="n">
        <x:f>F92-G92</x:f>
        <x:v>453</x:v>
      </x:c>
      <x:c r="I92" s="9" t="n">
        <x:v>0</x:v>
      </x:c>
      <x:c r="J92" s="9" t="n">
        <x:v>0</x:v>
      </x:c>
      <x:c r="K92" s="9" t="n">
        <x:v>740</x:v>
      </x:c>
      <x:c r="L92" s="9" t="n">
        <x:f>M92*30</x:f>
        <x:v>18.364864864864863</x:v>
      </x:c>
      <x:c r="M92" s="10" t="n">
        <x:f>IF(K92=0,0,H92/K92)</x:f>
        <x:v>0.6121621621621621</x:v>
      </x:c>
      <x:c r="N92" s="11" t="n">
        <x:v>7</x:v>
      </x:c>
      <x:c r="O92" t="str">
        <x:f>IF(L92&lt;N92,"Critical",IF(L92&lt;=60,"At Risk",IF(L92&lt;=120,"Tight","Adequate")))</x:f>
        <x:v>At Risk</x:v>
      </x:c>
      <x:c r="P92" s="12" t="str">
        <x:f>IF(O92="Critical","Escalate supply review and confirm allocation",IF(O92="At Risk","Prioritize available inventory and expedite inbound supply",IF(O92="Tight","Monitor demand and expedite purchase orders","Maintain planned replenishment")))</x:f>
        <x:v>Prioritize available inventory and expedite inbound supply</x:v>
      </x:c>
    </x:row>
    <x:row r="93">
      <x:c r="A93" s="8" t="str">
        <x:v>2026-06-14</x:v>
      </x:c>
      <x:c r="B93" t="str">
        <x:v>Central Warehouse A</x:v>
      </x:c>
      <x:c r="C93" t="str">
        <x:v>RX-RARE-10</x:v>
      </x:c>
      <x:c r="D93" t="str">
        <x:v>Product Epsilon</x:v>
      </x:c>
      <x:c r="E93" t="str">
        <x:v>Refrigerated (2-8 C)</x:v>
      </x:c>
      <x:c r="F93" s="9" t="n">
        <x:v>996</x:v>
      </x:c>
      <x:c r="G93" s="9" t="n">
        <x:v>349</x:v>
      </x:c>
      <x:c r="H93" s="9" t="n">
        <x:f>F93-G93</x:f>
        <x:v>647</x:v>
      </x:c>
      <x:c r="I93" s="9" t="n">
        <x:v>100</x:v>
      </x:c>
      <x:c r="J93" s="9" t="n">
        <x:v>66</x:v>
      </x:c>
      <x:c r="K93" s="9" t="n">
        <x:v>830</x:v>
      </x:c>
      <x:c r="L93" s="9" t="n">
        <x:f>M93*30</x:f>
        <x:v>23.385542168674696</x:v>
      </x:c>
      <x:c r="M93" s="10" t="n">
        <x:f>IF(K93=0,0,H93/K93)</x:f>
        <x:v>0.7795180722891566</x:v>
      </x:c>
      <x:c r="N93" s="11" t="n">
        <x:v>45</x:v>
      </x:c>
      <x:c r="O93" t="str">
        <x:f>IF(L93&lt;N93,"Critical",IF(L93&lt;=60,"At Risk",IF(L93&lt;=120,"Tight","Adequate")))</x:f>
        <x:v>Critical</x:v>
      </x:c>
      <x:c r="P93" s="12" t="str">
        <x:f>IF(O93="Critical","Escalate supply review and confirm allocation",IF(O93="At Risk","Prioritize available inventory and expedite inbound supply",IF(O93="Tight","Monitor demand and expedite purchase orders","Maintain planned replenishment")))</x:f>
        <x:v>Escalate supply review and confirm allocation</x:v>
      </x:c>
    </x:row>
    <x:row r="94">
      <x:c r="A94" s="8" t="str">
        <x:v>2026-06-14</x:v>
      </x:c>
      <x:c r="B94" t="str">
        <x:v>Central Warehouse A</x:v>
      </x:c>
      <x:c r="C94" t="str">
        <x:v>DX-COMP-01</x:v>
      </x:c>
      <x:c r="D94" t="str">
        <x:v>Product Zeta</x:v>
      </x:c>
      <x:c r="E94" t="str">
        <x:v>Ambient</x:v>
      </x:c>
      <x:c r="F94" s="9" t="n">
        <x:v>1426</x:v>
      </x:c>
      <x:c r="G94" s="9" t="n">
        <x:v>0</x:v>
      </x:c>
      <x:c r="H94" s="9" t="n">
        <x:f>F94-G94</x:f>
        <x:v>1426</x:v>
      </x:c>
      <x:c r="I94" s="9" t="n">
        <x:v>221</x:v>
      </x:c>
      <x:c r="J94" s="9" t="n">
        <x:v>147</x:v>
      </x:c>
      <x:c r="K94" s="9" t="n">
        <x:v>920</x:v>
      </x:c>
      <x:c r="L94" s="9" t="n">
        <x:f>M94*30</x:f>
        <x:v>46.5</x:v>
      </x:c>
      <x:c r="M94" s="10" t="n">
        <x:f>IF(K94=0,0,H94/K94)</x:f>
        <x:v>1.55</x:v>
      </x:c>
      <x:c r="N94" s="11" t="n">
        <x:v>10</x:v>
      </x:c>
      <x:c r="O94" t="str">
        <x:f>IF(L94&lt;N94,"Critical",IF(L94&lt;=60,"At Risk",IF(L94&lt;=120,"Tight","Adequate")))</x:f>
        <x:v>At Risk</x:v>
      </x:c>
      <x:c r="P94" s="12" t="str">
        <x:f>IF(O94="Critical","Escalate supply review and confirm allocation",IF(O94="At Risk","Prioritize available inventory and expedite inbound supply",IF(O94="Tight","Monitor demand and expedite purchase orders","Maintain planned replenishment")))</x:f>
        <x:v>Prioritize available inventory and expedite inbound supply</x:v>
      </x:c>
    </x:row>
    <x:row r="95">
      <x:c r="A95" s="8" t="str">
        <x:v>2026-06-14</x:v>
      </x:c>
      <x:c r="B95" t="str">
        <x:v>Central Warehouse A</x:v>
      </x:c>
      <x:c r="C95" t="str">
        <x:v>RX-HOSP-20</x:v>
      </x:c>
      <x:c r="D95" t="str">
        <x:v>Product Eta</x:v>
      </x:c>
      <x:c r="E95" t="str">
        <x:v>Ambient</x:v>
      </x:c>
      <x:c r="F95" s="9" t="n">
        <x:v>114</x:v>
      </x:c>
      <x:c r="G95" s="9" t="n">
        <x:v>8</x:v>
      </x:c>
      <x:c r="H95" s="9" t="n">
        <x:f>F95-G95</x:f>
        <x:v>106</x:v>
      </x:c>
      <x:c r="I95" s="9" t="n">
        <x:v>22</x:v>
      </x:c>
      <x:c r="J95" s="9" t="n">
        <x:v>14</x:v>
      </x:c>
      <x:c r="K95" s="9" t="n">
        <x:v>60</x:v>
      </x:c>
      <x:c r="L95" s="9" t="n">
        <x:f>M95*30</x:f>
        <x:v>53</x:v>
      </x:c>
      <x:c r="M95" s="10" t="n">
        <x:f>IF(K95=0,0,H95/K95)</x:f>
        <x:v>1.7666666666666666</x:v>
      </x:c>
      <x:c r="N95" s="11" t="n">
        <x:v>14</x:v>
      </x:c>
      <x:c r="O95" t="str">
        <x:f>IF(L95&lt;N95,"Critical",IF(L95&lt;=60,"At Risk",IF(L95&lt;=120,"Tight","Adequate")))</x:f>
        <x:v>At Risk</x:v>
      </x:c>
      <x:c r="P95" s="12" t="str">
        <x:f>IF(O95="Critical","Escalate supply review and confirm allocation",IF(O95="At Risk","Prioritize available inventory and expedite inbound supply",IF(O95="Tight","Monitor demand and expedite purchase orders","Maintain planned replenishment")))</x:f>
        <x:v>Prioritize available inventory and expedite inbound supply</x:v>
      </x:c>
    </x:row>
    <x:row r="96">
      <x:c r="A96" s="8" t="str">
        <x:v>2026-06-14</x:v>
      </x:c>
      <x:c r="B96" t="str">
        <x:v>Central Warehouse A</x:v>
      </x:c>
      <x:c r="C96" t="str">
        <x:v>BIO-DERM-80</x:v>
      </x:c>
      <x:c r="D96" t="str">
        <x:v>Product Theta</x:v>
      </x:c>
      <x:c r="E96" t="str">
        <x:v>Refrigerated (2-8 C)</x:v>
      </x:c>
      <x:c r="F96" s="9" t="n">
        <x:v>338</x:v>
      </x:c>
      <x:c r="G96" s="9" t="n">
        <x:v>47</x:v>
      </x:c>
      <x:c r="H96" s="9" t="n">
        <x:f>F96-G96</x:f>
        <x:v>291</x:v>
      </x:c>
      <x:c r="I96" s="9" t="n">
        <x:v>72</x:v>
      </x:c>
      <x:c r="J96" s="9" t="n">
        <x:v>48</x:v>
      </x:c>
      <x:c r="K96" s="9" t="n">
        <x:v>150</x:v>
      </x:c>
      <x:c r="L96" s="9" t="n">
        <x:f>M96*30</x:f>
        <x:v>58.199999999999996</x:v>
      </x:c>
      <x:c r="M96" s="10" t="n">
        <x:f>IF(K96=0,0,H96/K96)</x:f>
        <x:v>1.94</x:v>
      </x:c>
      <x:c r="N96" s="11" t="n">
        <x:v>16</x:v>
      </x:c>
      <x:c r="O96" t="str">
        <x:f>IF(L96&lt;N96,"Critical",IF(L96&lt;=60,"At Risk",IF(L96&lt;=120,"Tight","Adequate")))</x:f>
        <x:v>At Risk</x:v>
      </x:c>
      <x:c r="P96" s="12" t="str">
        <x:f>IF(O96="Critical","Escalate supply review and confirm allocation",IF(O96="At Risk","Prioritize available inventory and expedite inbound supply",IF(O96="Tight","Monitor demand and expedite purchase orders","Maintain planned replenishment")))</x:f>
        <x:v>Prioritize available inventory and expedite inbound supply</x:v>
      </x:c>
    </x:row>
    <x:row r="97">
      <x:c r="A97" s="8" t="str">
        <x:v>2026-06-14</x:v>
      </x:c>
      <x:c r="B97" t="str">
        <x:v>Central Warehouse A</x:v>
      </x:c>
      <x:c r="C97" t="str">
        <x:v>RX-ONC-ORAL</x:v>
      </x:c>
      <x:c r="D97" t="str">
        <x:v>Product Iota</x:v>
      </x:c>
      <x:c r="E97" t="str">
        <x:v>Ambient</x:v>
      </x:c>
      <x:c r="F97" s="9" t="n">
        <x:v>624</x:v>
      </x:c>
      <x:c r="G97" s="9" t="n">
        <x:v>131</x:v>
      </x:c>
      <x:c r="H97" s="9" t="n">
        <x:f>F97-G97</x:f>
        <x:v>493</x:v>
      </x:c>
      <x:c r="I97" s="9" t="n">
        <x:v>0</x:v>
      </x:c>
      <x:c r="J97" s="9" t="n">
        <x:v>0</x:v>
      </x:c>
      <x:c r="K97" s="9" t="n">
        <x:v>240</x:v>
      </x:c>
      <x:c r="L97" s="9" t="n">
        <x:f>M97*30</x:f>
        <x:v>61.625</x:v>
      </x:c>
      <x:c r="M97" s="10" t="n">
        <x:f>IF(K97=0,0,H97/K97)</x:f>
        <x:v>2.0541666666666667</x:v>
      </x:c>
      <x:c r="N97" s="11" t="n">
        <x:v>12</x:v>
      </x:c>
      <x:c r="O97" t="str">
        <x:f>IF(L97&lt;N97,"Critical",IF(L97&lt;=60,"At Risk",IF(L97&lt;=120,"Tight","Adequate")))</x:f>
        <x:v>Tight</x:v>
      </x:c>
      <x:c r="P97" s="12" t="str">
        <x:f>IF(O97="Critical","Escalate supply review and confirm allocation",IF(O97="At Risk","Prioritize available inventory and expedite inbound supply",IF(O97="Tight","Monitor demand and expedite purchase orders","Maintain planned replenishment")))</x:f>
        <x:v>Monitor demand and expedite purchase orders</x:v>
      </x:c>
    </x:row>
    <x:row r="98">
      <x:c r="A98" s="8" t="str">
        <x:v>2026-06-14</x:v>
      </x:c>
      <x:c r="B98" t="str">
        <x:v>Central Warehouse A</x:v>
      </x:c>
      <x:c r="C98" t="str">
        <x:v>RX-RARE-INF</x:v>
      </x:c>
      <x:c r="D98" t="str">
        <x:v>Product Kappa</x:v>
      </x:c>
      <x:c r="E98" t="str">
        <x:v>Refrigerated (2-8 C)</x:v>
      </x:c>
      <x:c r="F98" s="9" t="n">
        <x:v>973</x:v>
      </x:c>
      <x:c r="G98" s="9" t="n">
        <x:v>272</x:v>
      </x:c>
      <x:c r="H98" s="9" t="n">
        <x:f>F98-G98</x:f>
        <x:v>701</x:v>
      </x:c>
      <x:c r="I98" s="9" t="n">
        <x:v>40</x:v>
      </x:c>
      <x:c r="J98" s="9" t="n">
        <x:v>26</x:v>
      </x:c>
      <x:c r="K98" s="9" t="n">
        <x:v>330</x:v>
      </x:c>
      <x:c r="L98" s="9" t="n">
        <x:f>M98*30</x:f>
        <x:v>63.72727272727272</x:v>
      </x:c>
      <x:c r="M98" s="10" t="n">
        <x:f>IF(K98=0,0,H98/K98)</x:f>
        <x:v>2.124242424242424</x:v>
      </x:c>
      <x:c r="N98" s="11" t="n">
        <x:v>60</x:v>
      </x:c>
      <x:c r="O98" t="str">
        <x:f>IF(L98&lt;N98,"Critical",IF(L98&lt;=60,"At Risk",IF(L98&lt;=120,"Tight","Adequate")))</x:f>
        <x:v>Tight</x:v>
      </x:c>
      <x:c r="P98" s="12" t="str">
        <x:f>IF(O98="Critical","Escalate supply review and confirm allocation",IF(O98="At Risk","Prioritize available inventory and expedite inbound supply",IF(O98="Tight","Monitor demand and expedite purchase orders","Maintain planned replenishment")))</x:f>
        <x:v>Monitor demand and expedite purchase orders</x:v>
      </x:c>
    </x:row>
    <x:row r="99">
      <x:c r="A99" s="8" t="str">
        <x:v>2026-06-14</x:v>
      </x:c>
      <x:c r="B99" t="str">
        <x:v>Central Warehouse A</x:v>
      </x:c>
      <x:c r="C99" t="str">
        <x:v>DX-GENE-02</x:v>
      </x:c>
      <x:c r="D99" t="str">
        <x:v>Product Lambda</x:v>
      </x:c>
      <x:c r="E99" t="str">
        <x:v>Ambient</x:v>
      </x:c>
      <x:c r="F99" s="9" t="n">
        <x:v>1386</x:v>
      </x:c>
      <x:c r="G99" s="9" t="n">
        <x:v>485</x:v>
      </x:c>
      <x:c r="H99" s="9" t="n">
        <x:f>F99-G99</x:f>
        <x:v>901</x:v>
      </x:c>
      <x:c r="I99" s="9" t="n">
        <x:v>101</x:v>
      </x:c>
      <x:c r="J99" s="9" t="n">
        <x:v>67</x:v>
      </x:c>
      <x:c r="K99" s="9" t="n">
        <x:v>420</x:v>
      </x:c>
      <x:c r="L99" s="9" t="n">
        <x:f>M99*30</x:f>
        <x:v>64.35714285714286</x:v>
      </x:c>
      <x:c r="M99" s="10" t="n">
        <x:f>IF(K99=0,0,H99/K99)</x:f>
        <x:v>2.145238095238095</x:v>
      </x:c>
      <x:c r="N99" s="11" t="n">
        <x:v>12</x:v>
      </x:c>
      <x:c r="O99" t="str">
        <x:f>IF(L99&lt;N99,"Critical",IF(L99&lt;=60,"At Risk",IF(L99&lt;=120,"Tight","Adequate")))</x:f>
        <x:v>Tight</x:v>
      </x:c>
      <x:c r="P99" s="12" t="str">
        <x:f>IF(O99="Critical","Escalate supply review and confirm allocation",IF(O99="At Risk","Prioritize available inventory and expedite inbound supply",IF(O99="Tight","Monitor demand and expedite purchase orders","Maintain planned replenishment")))</x:f>
        <x:v>Monitor demand and expedite purchase orders</x:v>
      </x:c>
    </x:row>
    <x:row r="100">
      <x:c r="A100" s="8" t="str">
        <x:v>2026-06-14</x:v>
      </x:c>
      <x:c r="B100" t="str">
        <x:v>Central Warehouse A</x:v>
      </x:c>
      <x:c r="C100" t="str">
        <x:v>SVC-PAT-01</x:v>
      </x:c>
      <x:c r="D100" t="str">
        <x:v>Product Mu</x:v>
      </x:c>
      <x:c r="E100" t="str">
        <x:v>Not Applicable</x:v>
      </x:c>
      <x:c r="F100" s="9" t="n">
        <x:v>255</x:v>
      </x:c>
      <x:c r="G100" s="9" t="n">
        <x:v>0</x:v>
      </x:c>
      <x:c r="H100" s="9" t="n">
        <x:f>F100-G100</x:f>
        <x:v>255</x:v>
      </x:c>
      <x:c r="I100" s="9" t="n">
        <x:v>184</x:v>
      </x:c>
      <x:c r="J100" s="9" t="n">
        <x:v>122</x:v>
      </x:c>
      <x:c r="K100" s="9" t="n">
        <x:v>510</x:v>
      </x:c>
      <x:c r="L100" s="9" t="n">
        <x:f>M100*30</x:f>
        <x:v>15</x:v>
      </x:c>
      <x:c r="M100" s="10" t="n">
        <x:f>IF(K100=0,0,H100/K100)</x:f>
        <x:v>0.5</x:v>
      </x:c>
      <x:c r="N100" s="11" t="n">
        <x:v>14</x:v>
      </x:c>
      <x:c r="O100" t="str">
        <x:f>IF(L100&lt;N100,"Critical",IF(L100&lt;=60,"At Risk",IF(L100&lt;=120,"Tight","Adequate")))</x:f>
        <x:v>At Risk</x:v>
      </x:c>
      <x:c r="P100" s="12" t="str">
        <x:f>IF(O100="Critical","Escalate supply review and confirm allocation",IF(O100="At Risk","Prioritize available inventory and expedite inbound supply",IF(O100="Tight","Monitor demand and expedite purchase orders","Maintain planned replenishment")))</x:f>
        <x:v>Prioritize available inventory and expedite inbound supply</x:v>
      </x:c>
    </x:row>
    <x:row r="101">
      <x:c r="A101" s="8" t="str">
        <x:v>2026-06-14</x:v>
      </x:c>
      <x:c r="B101" t="str">
        <x:v>Regional Warehouse A</x:v>
      </x:c>
      <x:c r="C101" t="str">
        <x:v>RX-ONC-100</x:v>
      </x:c>
      <x:c r="D101" t="str">
        <x:v>Product Alpha</x:v>
      </x:c>
      <x:c r="E101" t="str">
        <x:v>Refrigerated (2-8 C)</x:v>
      </x:c>
      <x:c r="F101" s="9" t="n">
        <x:v>1700</x:v>
      </x:c>
      <x:c r="G101" s="9" t="n">
        <x:v>238</x:v>
      </x:c>
      <x:c r="H101" s="9" t="n">
        <x:f>F101-G101</x:f>
        <x:v>1462</x:v>
      </x:c>
      <x:c r="I101" s="9" t="n">
        <x:v>185</x:v>
      </x:c>
      <x:c r="J101" s="9" t="n">
        <x:v>124</x:v>
      </x:c>
      <x:c r="K101" s="9" t="n">
        <x:v>515</x:v>
      </x:c>
      <x:c r="L101" s="9" t="n">
        <x:f>M101*30</x:f>
        <x:v>85.16504854368931</x:v>
      </x:c>
      <x:c r="M101" s="10" t="n">
        <x:f>IF(K101=0,0,H101/K101)</x:f>
        <x:v>2.8388349514563105</x:v>
      </x:c>
      <x:c r="N101" s="11" t="n">
        <x:v>21</x:v>
      </x:c>
      <x:c r="O101" t="str">
        <x:f>IF(L101&lt;N101,"Critical",IF(L101&lt;=60,"At Risk",IF(L101&lt;=120,"Tight","Adequate")))</x:f>
        <x:v>Tight</x:v>
      </x:c>
      <x:c r="P101" s="12" t="str">
        <x:f>IF(O101="Critical","Escalate supply review and confirm allocation",IF(O101="At Risk","Prioritize available inventory and expedite inbound supply",IF(O101="Tight","Monitor demand and expedite purchase orders","Maintain planned replenishment")))</x:f>
        <x:v>Monitor demand and expedite purchase orders</x:v>
      </x:c>
    </x:row>
    <x:row r="102">
      <x:c r="A102" s="8" t="str">
        <x:v>2026-06-14</x:v>
      </x:c>
      <x:c r="B102" t="str">
        <x:v>Regional Warehouse A</x:v>
      </x:c>
      <x:c r="C102" t="str">
        <x:v>RX-ONC-500</x:v>
      </x:c>
      <x:c r="D102" t="str">
        <x:v>Product Beta</x:v>
      </x:c>
      <x:c r="E102" t="str">
        <x:v>Refrigerated (2-8 C)</x:v>
      </x:c>
      <x:c r="F102" s="9" t="n">
        <x:v>307</x:v>
      </x:c>
      <x:c r="G102" s="9" t="n">
        <x:v>64</x:v>
      </x:c>
      <x:c r="H102" s="9" t="n">
        <x:f>F102-G102</x:f>
        <x:v>243</x:v>
      </x:c>
      <x:c r="I102" s="9" t="n">
        <x:v>295</x:v>
      </x:c>
      <x:c r="J102" s="9" t="n">
        <x:v>196</x:v>
      </x:c>
      <x:c r="K102" s="9" t="n">
        <x:v>614</x:v>
      </x:c>
      <x:c r="L102" s="9" t="n">
        <x:f>M102*30</x:f>
        <x:v>11.872964169381108</x:v>
      </x:c>
      <x:c r="M102" s="10" t="n">
        <x:f>IF(K102=0,0,H102/K102)</x:f>
        <x:v>0.3957654723127036</x:v>
      </x:c>
      <x:c r="N102" s="11" t="n">
        <x:v>28</x:v>
      </x:c>
      <x:c r="O102" t="str">
        <x:f>IF(L102&lt;N102,"Critical",IF(L102&lt;=60,"At Risk",IF(L102&lt;=120,"Tight","Adequate")))</x:f>
        <x:v>Critical</x:v>
      </x:c>
      <x:c r="P102" s="12" t="str">
        <x:f>IF(O102="Critical","Escalate supply review and confirm allocation",IF(O102="At Risk","Prioritize available inventory and expedite inbound supply",IF(O102="Tight","Monitor demand and expedite purchase orders","Maintain planned replenishment")))</x:f>
        <x:v>Escalate supply review and confirm allocation</x:v>
      </x:c>
    </x:row>
    <x:row r="103">
      <x:c r="A103" s="8" t="str">
        <x:v>2026-06-14</x:v>
      </x:c>
      <x:c r="B103" t="str">
        <x:v>Regional Warehouse A</x:v>
      </x:c>
      <x:c r="C103" t="str">
        <x:v>BIO-RA-200</x:v>
      </x:c>
      <x:c r="D103" t="str">
        <x:v>Product Gamma</x:v>
      </x:c>
      <x:c r="E103" t="str">
        <x:v>Refrigerated (2-8 C)</x:v>
      </x:c>
      <x:c r="F103" s="9" t="n">
        <x:v>606</x:v>
      </x:c>
      <x:c r="G103" s="9" t="n">
        <x:v>170</x:v>
      </x:c>
      <x:c r="H103" s="9" t="n">
        <x:f>F103-G103</x:f>
        <x:v>436</x:v>
      </x:c>
      <x:c r="I103" s="9" t="n">
        <x:v>0</x:v>
      </x:c>
      <x:c r="J103" s="9" t="n">
        <x:v>0</x:v>
      </x:c>
      <x:c r="K103" s="9" t="n">
        <x:v>713</x:v>
      </x:c>
      <x:c r="L103" s="9" t="n">
        <x:f>M103*30</x:f>
        <x:v>18.34502103786816</x:v>
      </x:c>
      <x:c r="M103" s="10" t="n">
        <x:f>IF(K103=0,0,H103/K103)</x:f>
        <x:v>0.6115007012622721</x:v>
      </x:c>
      <x:c r="N103" s="11" t="n">
        <x:v>18</x:v>
      </x:c>
      <x:c r="O103" t="str">
        <x:f>IF(L103&lt;N103,"Critical",IF(L103&lt;=60,"At Risk",IF(L103&lt;=120,"Tight","Adequate")))</x:f>
        <x:v>At Risk</x:v>
      </x:c>
      <x:c r="P103" s="12" t="str">
        <x:f>IF(O103="Critical","Escalate supply review and confirm allocation",IF(O103="At Risk","Prioritize available inventory and expedite inbound supply",IF(O103="Tight","Monitor demand and expedite purchase orders","Maintain planned replenishment")))</x:f>
        <x:v>Prioritize available inventory and expedite inbound supply</x:v>
      </x:c>
    </x:row>
    <x:row r="104">
      <x:c r="A104" s="8" t="str">
        <x:v>2026-06-14</x:v>
      </x:c>
      <x:c r="B104" t="str">
        <x:v>Regional Warehouse A</x:v>
      </x:c>
      <x:c r="C104" t="str">
        <x:v>RX-CARD-50</x:v>
      </x:c>
      <x:c r="D104" t="str">
        <x:v>Product Delta</x:v>
      </x:c>
      <x:c r="E104" t="str">
        <x:v>Ambient</x:v>
      </x:c>
      <x:c r="F104" s="9" t="n">
        <x:v>974</x:v>
      </x:c>
      <x:c r="G104" s="9" t="n">
        <x:v>341</x:v>
      </x:c>
      <x:c r="H104" s="9" t="n">
        <x:f>F104-G104</x:f>
        <x:v>633</x:v>
      </x:c>
      <x:c r="I104" s="9" t="n">
        <x:v>97</x:v>
      </x:c>
      <x:c r="J104" s="9" t="n">
        <x:v>65</x:v>
      </x:c>
      <x:c r="K104" s="9" t="n">
        <x:v>812</x:v>
      </x:c>
      <x:c r="L104" s="9" t="n">
        <x:f>M104*30</x:f>
        <x:v>23.38669950738916</x:v>
      </x:c>
      <x:c r="M104" s="10" t="n">
        <x:f>IF(K104=0,0,H104/K104)</x:f>
        <x:v>0.7795566502463054</x:v>
      </x:c>
      <x:c r="N104" s="11" t="n">
        <x:v>7</x:v>
      </x:c>
      <x:c r="O104" t="str">
        <x:f>IF(L104&lt;N104,"Critical",IF(L104&lt;=60,"At Risk",IF(L104&lt;=120,"Tight","Adequate")))</x:f>
        <x:v>At Risk</x:v>
      </x:c>
      <x:c r="P104" s="12" t="str">
        <x:f>IF(O104="Critical","Escalate supply review and confirm allocation",IF(O104="At Risk","Prioritize available inventory and expedite inbound supply",IF(O104="Tight","Monitor demand and expedite purchase orders","Maintain planned replenishment")))</x:f>
        <x:v>Prioritize available inventory and expedite inbound supply</x:v>
      </x:c>
    </x:row>
    <x:row r="105">
      <x:c r="A105" s="8" t="str">
        <x:v>2026-06-14</x:v>
      </x:c>
      <x:c r="B105" t="str">
        <x:v>Regional Warehouse A</x:v>
      </x:c>
      <x:c r="C105" t="str">
        <x:v>RX-RARE-10</x:v>
      </x:c>
      <x:c r="D105" t="str">
        <x:v>Product Epsilon</x:v>
      </x:c>
      <x:c r="E105" t="str">
        <x:v>Refrigerated (2-8 C)</x:v>
      </x:c>
      <x:c r="F105" s="9" t="n">
        <x:v>1412</x:v>
      </x:c>
      <x:c r="G105" s="9" t="n">
        <x:v>0</x:v>
      </x:c>
      <x:c r="H105" s="9" t="n">
        <x:f>F105-G105</x:f>
        <x:v>1412</x:v>
      </x:c>
      <x:c r="I105" s="9" t="n">
        <x:v>218</x:v>
      </x:c>
      <x:c r="J105" s="9" t="n">
        <x:v>146</x:v>
      </x:c>
      <x:c r="K105" s="9" t="n">
        <x:v>911</x:v>
      </x:c>
      <x:c r="L105" s="9" t="n">
        <x:f>M105*30</x:f>
        <x:v>46.498353457738745</x:v>
      </x:c>
      <x:c r="M105" s="10" t="n">
        <x:f>IF(K105=0,0,H105/K105)</x:f>
        <x:v>1.5499451152579582</x:v>
      </x:c>
      <x:c r="N105" s="11" t="n">
        <x:v>45</x:v>
      </x:c>
      <x:c r="O105" t="str">
        <x:f>IF(L105&lt;N105,"Critical",IF(L105&lt;=60,"At Risk",IF(L105&lt;=120,"Tight","Adequate")))</x:f>
        <x:v>At Risk</x:v>
      </x:c>
      <x:c r="P105" s="12" t="str">
        <x:f>IF(O105="Critical","Escalate supply review and confirm allocation",IF(O105="At Risk","Prioritize available inventory and expedite inbound supply",IF(O105="Tight","Monitor demand and expedite purchase orders","Maintain planned replenishment")))</x:f>
        <x:v>Prioritize available inventory and expedite inbound supply</x:v>
      </x:c>
    </x:row>
    <x:row r="106">
      <x:c r="A106" s="8" t="str">
        <x:v>2026-06-14</x:v>
      </x:c>
      <x:c r="B106" t="str">
        <x:v>Regional Warehouse A</x:v>
      </x:c>
      <x:c r="C106" t="str">
        <x:v>DX-COMP-01</x:v>
      </x:c>
      <x:c r="D106" t="str">
        <x:v>Product Zeta</x:v>
      </x:c>
      <x:c r="E106" t="str">
        <x:v>Ambient</x:v>
      </x:c>
      <x:c r="F106" s="9" t="n">
        <x:v>114</x:v>
      </x:c>
      <x:c r="G106" s="9" t="n">
        <x:v>8</x:v>
      </x:c>
      <x:c r="H106" s="9" t="n">
        <x:f>F106-G106</x:f>
        <x:v>106</x:v>
      </x:c>
      <x:c r="I106" s="9" t="n">
        <x:v>22</x:v>
      </x:c>
      <x:c r="J106" s="9" t="n">
        <x:v>14</x:v>
      </x:c>
      <x:c r="K106" s="9" t="n">
        <x:v>60</x:v>
      </x:c>
      <x:c r="L106" s="9" t="n">
        <x:f>M106*30</x:f>
        <x:v>53</x:v>
      </x:c>
      <x:c r="M106" s="10" t="n">
        <x:f>IF(K106=0,0,H106/K106)</x:f>
        <x:v>1.7666666666666666</x:v>
      </x:c>
      <x:c r="N106" s="11" t="n">
        <x:v>10</x:v>
      </x:c>
      <x:c r="O106" t="str">
        <x:f>IF(L106&lt;N106,"Critical",IF(L106&lt;=60,"At Risk",IF(L106&lt;=120,"Tight","Adequate")))</x:f>
        <x:v>At Risk</x:v>
      </x:c>
      <x:c r="P106" s="12" t="str">
        <x:f>IF(O106="Critical","Escalate supply review and confirm allocation",IF(O106="At Risk","Prioritize available inventory and expedite inbound supply",IF(O106="Tight","Monitor demand and expedite purchase orders","Maintain planned replenishment")))</x:f>
        <x:v>Prioritize available inventory and expedite inbound supply</x:v>
      </x:c>
    </x:row>
    <x:row r="107">
      <x:c r="A107" s="8" t="str">
        <x:v>2026-06-14</x:v>
      </x:c>
      <x:c r="B107" t="str">
        <x:v>Regional Warehouse A</x:v>
      </x:c>
      <x:c r="C107" t="str">
        <x:v>RX-HOSP-20</x:v>
      </x:c>
      <x:c r="D107" t="str">
        <x:v>Product Eta</x:v>
      </x:c>
      <x:c r="E107" t="str">
        <x:v>Ambient</x:v>
      </x:c>
      <x:c r="F107" s="9" t="n">
        <x:v>358</x:v>
      </x:c>
      <x:c r="G107" s="9" t="n">
        <x:v>50</x:v>
      </x:c>
      <x:c r="H107" s="9" t="n">
        <x:f>F107-G107</x:f>
        <x:v>308</x:v>
      </x:c>
      <x:c r="I107" s="9" t="n">
        <x:v>76</x:v>
      </x:c>
      <x:c r="J107" s="9" t="n">
        <x:v>51</x:v>
      </x:c>
      <x:c r="K107" s="9" t="n">
        <x:v>159</x:v>
      </x:c>
      <x:c r="L107" s="9" t="n">
        <x:f>M107*30</x:f>
        <x:v>58.113207547169814</x:v>
      </x:c>
      <x:c r="M107" s="10" t="n">
        <x:f>IF(K107=0,0,H107/K107)</x:f>
        <x:v>1.9371069182389937</x:v>
      </x:c>
      <x:c r="N107" s="11" t="n">
        <x:v>14</x:v>
      </x:c>
      <x:c r="O107" t="str">
        <x:f>IF(L107&lt;N107,"Critical",IF(L107&lt;=60,"At Risk",IF(L107&lt;=120,"Tight","Adequate")))</x:f>
        <x:v>At Risk</x:v>
      </x:c>
      <x:c r="P107" s="12" t="str">
        <x:f>IF(O107="Critical","Escalate supply review and confirm allocation",IF(O107="At Risk","Prioritize available inventory and expedite inbound supply",IF(O107="Tight","Monitor demand and expedite purchase orders","Maintain planned replenishment")))</x:f>
        <x:v>Prioritize available inventory and expedite inbound supply</x:v>
      </x:c>
    </x:row>
    <x:row r="108">
      <x:c r="A108" s="8" t="str">
        <x:v>2026-06-14</x:v>
      </x:c>
      <x:c r="B108" t="str">
        <x:v>Regional Warehouse A</x:v>
      </x:c>
      <x:c r="C108" t="str">
        <x:v>BIO-DERM-80</x:v>
      </x:c>
      <x:c r="D108" t="str">
        <x:v>Product Theta</x:v>
      </x:c>
      <x:c r="E108" t="str">
        <x:v>Refrigerated (2-8 C)</x:v>
      </x:c>
      <x:c r="F108" s="9" t="n">
        <x:v>671</x:v>
      </x:c>
      <x:c r="G108" s="9" t="n">
        <x:v>141</x:v>
      </x:c>
      <x:c r="H108" s="9" t="n">
        <x:f>F108-G108</x:f>
        <x:v>530</x:v>
      </x:c>
      <x:c r="I108" s="9" t="n">
        <x:v>0</x:v>
      </x:c>
      <x:c r="J108" s="9" t="n">
        <x:v>0</x:v>
      </x:c>
      <x:c r="K108" s="9" t="n">
        <x:v>258</x:v>
      </x:c>
      <x:c r="L108" s="9" t="n">
        <x:f>M108*30</x:f>
        <x:v>61.627906976744185</x:v>
      </x:c>
      <x:c r="M108" s="10" t="n">
        <x:f>IF(K108=0,0,H108/K108)</x:f>
        <x:v>2.054263565891473</x:v>
      </x:c>
      <x:c r="N108" s="11" t="n">
        <x:v>16</x:v>
      </x:c>
      <x:c r="O108" t="str">
        <x:f>IF(L108&lt;N108,"Critical",IF(L108&lt;=60,"At Risk",IF(L108&lt;=120,"Tight","Adequate")))</x:f>
        <x:v>Tight</x:v>
      </x:c>
      <x:c r="P108" s="12" t="str">
        <x:f>IF(O108="Critical","Escalate supply review and confirm allocation",IF(O108="At Risk","Prioritize available inventory and expedite inbound supply",IF(O108="Tight","Monitor demand and expedite purchase orders","Maintain planned replenishment")))</x:f>
        <x:v>Monitor demand and expedite purchase orders</x:v>
      </x:c>
    </x:row>
    <x:row r="109">
      <x:c r="A109" s="8" t="str">
        <x:v>2026-06-14</x:v>
      </x:c>
      <x:c r="B109" t="str">
        <x:v>Regional Warehouse A</x:v>
      </x:c>
      <x:c r="C109" t="str">
        <x:v>RX-ONC-ORAL</x:v>
      </x:c>
      <x:c r="D109" t="str">
        <x:v>Product Iota</x:v>
      </x:c>
      <x:c r="E109" t="str">
        <x:v>Ambient</x:v>
      </x:c>
      <x:c r="F109" s="9" t="n">
        <x:v>1053</x:v>
      </x:c>
      <x:c r="G109" s="9" t="n">
        <x:v>295</x:v>
      </x:c>
      <x:c r="H109" s="9" t="n">
        <x:f>F109-G109</x:f>
        <x:v>758</x:v>
      </x:c>
      <x:c r="I109" s="9" t="n">
        <x:v>43</x:v>
      </x:c>
      <x:c r="J109" s="9" t="n">
        <x:v>28</x:v>
      </x:c>
      <x:c r="K109" s="9" t="n">
        <x:v>357</x:v>
      </x:c>
      <x:c r="L109" s="9" t="n">
        <x:f>M109*30</x:f>
        <x:v>63.69747899159664</x:v>
      </x:c>
      <x:c r="M109" s="10" t="n">
        <x:f>IF(K109=0,0,H109/K109)</x:f>
        <x:v>2.123249299719888</x:v>
      </x:c>
      <x:c r="N109" s="11" t="n">
        <x:v>12</x:v>
      </x:c>
      <x:c r="O109" t="str">
        <x:f>IF(L109&lt;N109,"Critical",IF(L109&lt;=60,"At Risk",IF(L109&lt;=120,"Tight","Adequate")))</x:f>
        <x:v>Tight</x:v>
      </x:c>
      <x:c r="P109" s="12" t="str">
        <x:f>IF(O109="Critical","Escalate supply review and confirm allocation",IF(O109="At Risk","Prioritize available inventory and expedite inbound supply",IF(O109="Tight","Monitor demand and expedite purchase orders","Maintain planned replenishment")))</x:f>
        <x:v>Monitor demand and expedite purchase orders</x:v>
      </x:c>
    </x:row>
    <x:row r="110">
      <x:c r="A110" s="8" t="str">
        <x:v>2026-06-14</x:v>
      </x:c>
      <x:c r="B110" t="str">
        <x:v>Regional Warehouse A</x:v>
      </x:c>
      <x:c r="C110" t="str">
        <x:v>RX-RARE-INF</x:v>
      </x:c>
      <x:c r="D110" t="str">
        <x:v>Product Kappa</x:v>
      </x:c>
      <x:c r="E110" t="str">
        <x:v>Refrigerated (2-8 C)</x:v>
      </x:c>
      <x:c r="F110" s="9" t="n">
        <x:v>1505</x:v>
      </x:c>
      <x:c r="G110" s="9" t="n">
        <x:v>527</x:v>
      </x:c>
      <x:c r="H110" s="9" t="n">
        <x:f>F110-G110</x:f>
        <x:v>978</x:v>
      </x:c>
      <x:c r="I110" s="9" t="n">
        <x:v>109</x:v>
      </x:c>
      <x:c r="J110" s="9" t="n">
        <x:v>73</x:v>
      </x:c>
      <x:c r="K110" s="9" t="n">
        <x:v>456</x:v>
      </x:c>
      <x:c r="L110" s="9" t="n">
        <x:f>M110*30</x:f>
        <x:v>64.3421052631579</x:v>
      </x:c>
      <x:c r="M110" s="10" t="n">
        <x:f>IF(K110=0,0,H110/K110)</x:f>
        <x:v>2.1447368421052633</x:v>
      </x:c>
      <x:c r="N110" s="11" t="n">
        <x:v>60</x:v>
      </x:c>
      <x:c r="O110" t="str">
        <x:f>IF(L110&lt;N110,"Critical",IF(L110&lt;=60,"At Risk",IF(L110&lt;=120,"Tight","Adequate")))</x:f>
        <x:v>Tight</x:v>
      </x:c>
      <x:c r="P110" s="12" t="str">
        <x:f>IF(O110="Critical","Escalate supply review and confirm allocation",IF(O110="At Risk","Prioritize available inventory and expedite inbound supply",IF(O110="Tight","Monitor demand and expedite purchase orders","Maintain planned replenishment")))</x:f>
        <x:v>Monitor demand and expedite purchase orders</x:v>
      </x:c>
    </x:row>
    <x:row r="111">
      <x:c r="A111" s="8" t="str">
        <x:v>2026-06-14</x:v>
      </x:c>
      <x:c r="B111" t="str">
        <x:v>Regional Warehouse A</x:v>
      </x:c>
      <x:c r="C111" t="str">
        <x:v>DX-GENE-02</x:v>
      </x:c>
      <x:c r="D111" t="str">
        <x:v>Product Lambda</x:v>
      </x:c>
      <x:c r="E111" t="str">
        <x:v>Ambient</x:v>
      </x:c>
      <x:c r="F111" s="9" t="n">
        <x:v>278</x:v>
      </x:c>
      <x:c r="G111" s="9" t="n">
        <x:v>0</x:v>
      </x:c>
      <x:c r="H111" s="9" t="n">
        <x:f>F111-G111</x:f>
        <x:v>278</x:v>
      </x:c>
      <x:c r="I111" s="9" t="n">
        <x:v>200</x:v>
      </x:c>
      <x:c r="J111" s="9" t="n">
        <x:v>133</x:v>
      </x:c>
      <x:c r="K111" s="9" t="n">
        <x:v>555</x:v>
      </x:c>
      <x:c r="L111" s="9" t="n">
        <x:f>M111*30</x:f>
        <x:v>15.027027027027026</x:v>
      </x:c>
      <x:c r="M111" s="10" t="n">
        <x:f>IF(K111=0,0,H111/K111)</x:f>
        <x:v>0.5009009009009009</x:v>
      </x:c>
      <x:c r="N111" s="11" t="n">
        <x:v>12</x:v>
      </x:c>
      <x:c r="O111" t="str">
        <x:f>IF(L111&lt;N111,"Critical",IF(L111&lt;=60,"At Risk",IF(L111&lt;=120,"Tight","Adequate")))</x:f>
        <x:v>At Risk</x:v>
      </x:c>
      <x:c r="P111" s="12" t="str">
        <x:f>IF(O111="Critical","Escalate supply review and confirm allocation",IF(O111="At Risk","Prioritize available inventory and expedite inbound supply",IF(O111="Tight","Monitor demand and expedite purchase orders","Maintain planned replenishment")))</x:f>
        <x:v>Prioritize available inventory and expedite inbound supply</x:v>
      </x:c>
    </x:row>
    <x:row r="112">
      <x:c r="A112" s="8" t="str">
        <x:v>2026-06-14</x:v>
      </x:c>
      <x:c r="B112" t="str">
        <x:v>Regional Warehouse A</x:v>
      </x:c>
      <x:c r="C112" t="str">
        <x:v>SVC-PAT-01</x:v>
      </x:c>
      <x:c r="D112" t="str">
        <x:v>Product Mu</x:v>
      </x:c>
      <x:c r="E112" t="str">
        <x:v>Not Applicable</x:v>
      </x:c>
      <x:c r="F112" s="9" t="n">
        <x:v>556</x:v>
      </x:c>
      <x:c r="G112" s="9" t="n">
        <x:v>39</x:v>
      </x:c>
      <x:c r="H112" s="9" t="n">
        <x:f>F112-G112</x:f>
        <x:v>517</x:v>
      </x:c>
      <x:c r="I112" s="9" t="n">
        <x:v>314</x:v>
      </x:c>
      <x:c r="J112" s="9" t="n">
        <x:v>209</x:v>
      </x:c>
      <x:c r="K112" s="9" t="n">
        <x:v>654</x:v>
      </x:c>
      <x:c r="L112" s="9" t="n">
        <x:f>M112*30</x:f>
        <x:v>23.71559633027523</x:v>
      </x:c>
      <x:c r="M112" s="10" t="n">
        <x:f>IF(K112=0,0,H112/K112)</x:f>
        <x:v>0.790519877675841</x:v>
      </x:c>
      <x:c r="N112" s="11" t="n">
        <x:v>14</x:v>
      </x:c>
      <x:c r="O112" t="str">
        <x:f>IF(L112&lt;N112,"Critical",IF(L112&lt;=60,"At Risk",IF(L112&lt;=120,"Tight","Adequate")))</x:f>
        <x:v>At Risk</x:v>
      </x:c>
      <x:c r="P112" s="12" t="str">
        <x:f>IF(O112="Critical","Escalate supply review and confirm allocation",IF(O112="At Risk","Prioritize available inventory and expedite inbound supply",IF(O112="Tight","Monitor demand and expedite purchase orders","Maintain planned replenishment")))</x:f>
        <x:v>Prioritize available inventory and expedite inbound supply</x:v>
      </x:c>
    </x:row>
    <x:row r="113">
      <x:c r="A113" s="8" t="str">
        <x:v>2026-06-14</x:v>
      </x:c>
      <x:c r="B113" t="str">
        <x:v>Central Warehouse B</x:v>
      </x:c>
      <x:c r="C113" t="str">
        <x:v>RX-ONC-100</x:v>
      </x:c>
      <x:c r="D113" t="str">
        <x:v>Product Alpha</x:v>
      </x:c>
      <x:c r="E113" t="str">
        <x:v>Refrigerated (2-8 C)</x:v>
      </x:c>
      <x:c r="F113" s="9" t="n">
        <x:v>280</x:v>
      </x:c>
      <x:c r="G113" s="9" t="n">
        <x:v>59</x:v>
      </x:c>
      <x:c r="H113" s="9" t="n">
        <x:f>F113-G113</x:f>
        <x:v>221</x:v>
      </x:c>
      <x:c r="I113" s="9" t="n">
        <x:v>269</x:v>
      </x:c>
      <x:c r="J113" s="9" t="n">
        <x:v>179</x:v>
      </x:c>
      <x:c r="K113" s="9" t="n">
        <x:v>560</x:v>
      </x:c>
      <x:c r="L113" s="9" t="n">
        <x:f>M113*30</x:f>
        <x:v>11.839285714285714</x:v>
      </x:c>
      <x:c r="M113" s="10" t="n">
        <x:f>IF(K113=0,0,H113/K113)</x:f>
        <x:v>0.39464285714285713</x:v>
      </x:c>
      <x:c r="N113" s="11" t="n">
        <x:v>21</x:v>
      </x:c>
      <x:c r="O113" t="str">
        <x:f>IF(L113&lt;N113,"Critical",IF(L113&lt;=60,"At Risk",IF(L113&lt;=120,"Tight","Adequate")))</x:f>
        <x:v>Critical</x:v>
      </x:c>
      <x:c r="P113" s="12" t="str">
        <x:f>IF(O113="Critical","Escalate supply review and confirm allocation",IF(O113="At Risk","Prioritize available inventory and expedite inbound supply",IF(O113="Tight","Monitor demand and expedite purchase orders","Maintain planned replenishment")))</x:f>
        <x:v>Escalate supply review and confirm allocation</x:v>
      </x:c>
    </x:row>
    <x:row r="114">
      <x:c r="A114" s="8" t="str">
        <x:v>2026-06-14</x:v>
      </x:c>
      <x:c r="B114" t="str">
        <x:v>Central Warehouse B</x:v>
      </x:c>
      <x:c r="C114" t="str">
        <x:v>RX-ONC-500</x:v>
      </x:c>
      <x:c r="D114" t="str">
        <x:v>Product Beta</x:v>
      </x:c>
      <x:c r="E114" t="str">
        <x:v>Refrigerated (2-8 C)</x:v>
      </x:c>
      <x:c r="F114" s="9" t="n">
        <x:v>568</x:v>
      </x:c>
      <x:c r="G114" s="9" t="n">
        <x:v>159</x:v>
      </x:c>
      <x:c r="H114" s="9" t="n">
        <x:f>F114-G114</x:f>
        <x:v>409</x:v>
      </x:c>
      <x:c r="I114" s="9" t="n">
        <x:v>0</x:v>
      </x:c>
      <x:c r="J114" s="9" t="n">
        <x:v>0</x:v>
      </x:c>
      <x:c r="K114" s="9" t="n">
        <x:v>668</x:v>
      </x:c>
      <x:c r="L114" s="9" t="n">
        <x:f>M114*30</x:f>
        <x:v>18.368263473053894</x:v>
      </x:c>
      <x:c r="M114" s="10" t="n">
        <x:f>IF(K114=0,0,H114/K114)</x:f>
        <x:v>0.6122754491017964</x:v>
      </x:c>
      <x:c r="N114" s="11" t="n">
        <x:v>28</x:v>
      </x:c>
      <x:c r="O114" t="str">
        <x:f>IF(L114&lt;N114,"Critical",IF(L114&lt;=60,"At Risk",IF(L114&lt;=120,"Tight","Adequate")))</x:f>
        <x:v>Critical</x:v>
      </x:c>
      <x:c r="P114" s="12" t="str">
        <x:f>IF(O114="Critical","Escalate supply review and confirm allocation",IF(O114="At Risk","Prioritize available inventory and expedite inbound supply",IF(O114="Tight","Monitor demand and expedite purchase orders","Maintain planned replenishment")))</x:f>
        <x:v>Escalate supply review and confirm allocation</x:v>
      </x:c>
    </x:row>
    <x:row r="115">
      <x:c r="A115" s="8" t="str">
        <x:v>2026-06-14</x:v>
      </x:c>
      <x:c r="B115" t="str">
        <x:v>Central Warehouse B</x:v>
      </x:c>
      <x:c r="C115" t="str">
        <x:v>BIO-RA-200</x:v>
      </x:c>
      <x:c r="D115" t="str">
        <x:v>Product Gamma</x:v>
      </x:c>
      <x:c r="E115" t="str">
        <x:v>Refrigerated (2-8 C)</x:v>
      </x:c>
      <x:c r="F115" s="9" t="n">
        <x:v>931</x:v>
      </x:c>
      <x:c r="G115" s="9" t="n">
        <x:v>326</x:v>
      </x:c>
      <x:c r="H115" s="9" t="n">
        <x:f>F115-G115</x:f>
        <x:v>605</x:v>
      </x:c>
      <x:c r="I115" s="9" t="n">
        <x:v>93</x:v>
      </x:c>
      <x:c r="J115" s="9" t="n">
        <x:v>62</x:v>
      </x:c>
      <x:c r="K115" s="9" t="n">
        <x:v>776</x:v>
      </x:c>
      <x:c r="L115" s="9" t="n">
        <x:f>M115*30</x:f>
        <x:v>23.38917525773196</x:v>
      </x:c>
      <x:c r="M115" s="10" t="n">
        <x:f>IF(K115=0,0,H115/K115)</x:f>
        <x:v>0.779639175257732</x:v>
      </x:c>
      <x:c r="N115" s="11" t="n">
        <x:v>18</x:v>
      </x:c>
      <x:c r="O115" t="str">
        <x:f>IF(L115&lt;N115,"Critical",IF(L115&lt;=60,"At Risk",IF(L115&lt;=120,"Tight","Adequate")))</x:f>
        <x:v>At Risk</x:v>
      </x:c>
      <x:c r="P115" s="12" t="str">
        <x:f>IF(O115="Critical","Escalate supply review and confirm allocation",IF(O115="At Risk","Prioritize available inventory and expedite inbound supply",IF(O115="Tight","Monitor demand and expedite purchase orders","Maintain planned replenishment")))</x:f>
        <x:v>Prioritize available inventory and expedite inbound supply</x:v>
      </x:c>
    </x:row>
    <x:row r="116">
      <x:c r="A116" s="8" t="str">
        <x:v>2026-06-14</x:v>
      </x:c>
      <x:c r="B116" t="str">
        <x:v>Central Warehouse B</x:v>
      </x:c>
      <x:c r="C116" t="str">
        <x:v>RX-CARD-50</x:v>
      </x:c>
      <x:c r="D116" t="str">
        <x:v>Product Delta</x:v>
      </x:c>
      <x:c r="E116" t="str">
        <x:v>Ambient</x:v>
      </x:c>
      <x:c r="F116" s="9" t="n">
        <x:v>1370</x:v>
      </x:c>
      <x:c r="G116" s="9" t="n">
        <x:v>0</x:v>
      </x:c>
      <x:c r="H116" s="9" t="n">
        <x:f>F116-G116</x:f>
        <x:v>1370</x:v>
      </x:c>
      <x:c r="I116" s="9" t="n">
        <x:v>212</x:v>
      </x:c>
      <x:c r="J116" s="9" t="n">
        <x:v>142</x:v>
      </x:c>
      <x:c r="K116" s="9" t="n">
        <x:v>884</x:v>
      </x:c>
      <x:c r="L116" s="9" t="n">
        <x:f>M116*30</x:f>
        <x:v>46.49321266968326</x:v>
      </x:c>
      <x:c r="M116" s="10" t="n">
        <x:f>IF(K116=0,0,H116/K116)</x:f>
        <x:v>1.5497737556561086</x:v>
      </x:c>
      <x:c r="N116" s="11" t="n">
        <x:v>7</x:v>
      </x:c>
      <x:c r="O116" t="str">
        <x:f>IF(L116&lt;N116,"Critical",IF(L116&lt;=60,"At Risk",IF(L116&lt;=120,"Tight","Adequate")))</x:f>
        <x:v>At Risk</x:v>
      </x:c>
      <x:c r="P116" s="12" t="str">
        <x:f>IF(O116="Critical","Escalate supply review and confirm allocation",IF(O116="At Risk","Prioritize available inventory and expedite inbound supply",IF(O116="Tight","Monitor demand and expedite purchase orders","Maintain planned replenishment")))</x:f>
        <x:v>Prioritize available inventory and expedite inbound supply</x:v>
      </x:c>
    </x:row>
    <x:row r="117">
      <x:c r="A117" s="8" t="str">
        <x:v>2026-06-14</x:v>
      </x:c>
      <x:c r="B117" t="str">
        <x:v>Central Warehouse B</x:v>
      </x:c>
      <x:c r="C117" t="str">
        <x:v>RX-RARE-10</x:v>
      </x:c>
      <x:c r="D117" t="str">
        <x:v>Product Epsilon</x:v>
      </x:c>
      <x:c r="E117" t="str">
        <x:v>Refrigerated (2-8 C)</x:v>
      </x:c>
      <x:c r="F117" s="9" t="n">
        <x:v>80</x:v>
      </x:c>
      <x:c r="G117" s="9" t="n">
        <x:v>6</x:v>
      </x:c>
      <x:c r="H117" s="9" t="n">
        <x:f>F117-G117</x:f>
        <x:v>74</x:v>
      </x:c>
      <x:c r="I117" s="9" t="n">
        <x:v>15</x:v>
      </x:c>
      <x:c r="J117" s="9" t="n">
        <x:v>10</x:v>
      </x:c>
      <x:c r="K117" s="9" t="n">
        <x:v>42</x:v>
      </x:c>
      <x:c r="L117" s="9" t="n">
        <x:f>M117*30</x:f>
        <x:v>52.857142857142854</x:v>
      </x:c>
      <x:c r="M117" s="10" t="n">
        <x:f>IF(K117=0,0,H117/K117)</x:f>
        <x:v>1.7619047619047619</x:v>
      </x:c>
      <x:c r="N117" s="11" t="n">
        <x:v>45</x:v>
      </x:c>
      <x:c r="O117" t="str">
        <x:f>IF(L117&lt;N117,"Critical",IF(L117&lt;=60,"At Risk",IF(L117&lt;=120,"Tight","Adequate")))</x:f>
        <x:v>At Risk</x:v>
      </x:c>
      <x:c r="P117" s="12" t="str">
        <x:f>IF(O117="Critical","Escalate supply review and confirm allocation",IF(O117="At Risk","Prioritize available inventory and expedite inbound supply",IF(O117="Tight","Monitor demand and expedite purchase orders","Maintain planned replenishment")))</x:f>
        <x:v>Prioritize available inventory and expedite inbound supply</x:v>
      </x:c>
    </x:row>
    <x:row r="118">
      <x:c r="A118" s="8" t="str">
        <x:v>2026-06-14</x:v>
      </x:c>
      <x:c r="B118" t="str">
        <x:v>Central Warehouse B</x:v>
      </x:c>
      <x:c r="C118" t="str">
        <x:v>DX-COMP-01</x:v>
      </x:c>
      <x:c r="D118" t="str">
        <x:v>Product Zeta</x:v>
      </x:c>
      <x:c r="E118" t="str">
        <x:v>Ambient</x:v>
      </x:c>
      <x:c r="F118" s="9" t="n">
        <x:v>338</x:v>
      </x:c>
      <x:c r="G118" s="9" t="n">
        <x:v>47</x:v>
      </x:c>
      <x:c r="H118" s="9" t="n">
        <x:f>F118-G118</x:f>
        <x:v>291</x:v>
      </x:c>
      <x:c r="I118" s="9" t="n">
        <x:v>72</x:v>
      </x:c>
      <x:c r="J118" s="9" t="n">
        <x:v>48</x:v>
      </x:c>
      <x:c r="K118" s="9" t="n">
        <x:v>150</x:v>
      </x:c>
      <x:c r="L118" s="9" t="n">
        <x:f>M118*30</x:f>
        <x:v>58.199999999999996</x:v>
      </x:c>
      <x:c r="M118" s="10" t="n">
        <x:f>IF(K118=0,0,H118/K118)</x:f>
        <x:v>1.94</x:v>
      </x:c>
      <x:c r="N118" s="11" t="n">
        <x:v>10</x:v>
      </x:c>
      <x:c r="O118" t="str">
        <x:f>IF(L118&lt;N118,"Critical",IF(L118&lt;=60,"At Risk",IF(L118&lt;=120,"Tight","Adequate")))</x:f>
        <x:v>At Risk</x:v>
      </x:c>
      <x:c r="P118" s="12" t="str">
        <x:f>IF(O118="Critical","Escalate supply review and confirm allocation",IF(O118="At Risk","Prioritize available inventory and expedite inbound supply",IF(O118="Tight","Monitor demand and expedite purchase orders","Maintain planned replenishment")))</x:f>
        <x:v>Prioritize available inventory and expedite inbound supply</x:v>
      </x:c>
    </x:row>
    <x:row r="119">
      <x:c r="A119" s="8" t="str">
        <x:v>2026-06-14</x:v>
      </x:c>
      <x:c r="B119" t="str">
        <x:v>Central Warehouse B</x:v>
      </x:c>
      <x:c r="C119" t="str">
        <x:v>RX-HOSP-20</x:v>
      </x:c>
      <x:c r="D119" t="str">
        <x:v>Product Eta</x:v>
      </x:c>
      <x:c r="E119" t="str">
        <x:v>Ambient</x:v>
      </x:c>
      <x:c r="F119" s="9" t="n">
        <x:v>671</x:v>
      </x:c>
      <x:c r="G119" s="9" t="n">
        <x:v>141</x:v>
      </x:c>
      <x:c r="H119" s="9" t="n">
        <x:f>F119-G119</x:f>
        <x:v>530</x:v>
      </x:c>
      <x:c r="I119" s="9" t="n">
        <x:v>0</x:v>
      </x:c>
      <x:c r="J119" s="9" t="n">
        <x:v>0</x:v>
      </x:c>
      <x:c r="K119" s="9" t="n">
        <x:v>258</x:v>
      </x:c>
      <x:c r="L119" s="9" t="n">
        <x:f>M119*30</x:f>
        <x:v>61.627906976744185</x:v>
      </x:c>
      <x:c r="M119" s="10" t="n">
        <x:f>IF(K119=0,0,H119/K119)</x:f>
        <x:v>2.054263565891473</x:v>
      </x:c>
      <x:c r="N119" s="11" t="n">
        <x:v>14</x:v>
      </x:c>
      <x:c r="O119" t="str">
        <x:f>IF(L119&lt;N119,"Critical",IF(L119&lt;=60,"At Risk",IF(L119&lt;=120,"Tight","Adequate")))</x:f>
        <x:v>Tight</x:v>
      </x:c>
      <x:c r="P119" s="12" t="str">
        <x:f>IF(O119="Critical","Escalate supply review and confirm allocation",IF(O119="At Risk","Prioritize available inventory and expedite inbound supply",IF(O119="Tight","Monitor demand and expedite purchase orders","Maintain planned replenishment")))</x:f>
        <x:v>Monitor demand and expedite purchase orders</x:v>
      </x:c>
    </x:row>
    <x:row r="120">
      <x:c r="A120" s="8" t="str">
        <x:v>2026-06-14</x:v>
      </x:c>
      <x:c r="B120" t="str">
        <x:v>Central Warehouse B</x:v>
      </x:c>
      <x:c r="C120" t="str">
        <x:v>BIO-DERM-80</x:v>
      </x:c>
      <x:c r="D120" t="str">
        <x:v>Product Theta</x:v>
      </x:c>
      <x:c r="E120" t="str">
        <x:v>Refrigerated (2-8 C)</x:v>
      </x:c>
      <x:c r="F120" s="9" t="n">
        <x:v>1080</x:v>
      </x:c>
      <x:c r="G120" s="9" t="n">
        <x:v>302</x:v>
      </x:c>
      <x:c r="H120" s="9" t="n">
        <x:f>F120-G120</x:f>
        <x:v>778</x:v>
      </x:c>
      <x:c r="I120" s="9" t="n">
        <x:v>44</x:v>
      </x:c>
      <x:c r="J120" s="9" t="n">
        <x:v>29</x:v>
      </x:c>
      <x:c r="K120" s="9" t="n">
        <x:v>366</x:v>
      </x:c>
      <x:c r="L120" s="9" t="n">
        <x:f>M120*30</x:f>
        <x:v>63.77049180327869</x:v>
      </x:c>
      <x:c r="M120" s="10" t="n">
        <x:f>IF(K120=0,0,H120/K120)</x:f>
        <x:v>2.1256830601092895</x:v>
      </x:c>
      <x:c r="N120" s="11" t="n">
        <x:v>16</x:v>
      </x:c>
      <x:c r="O120" t="str">
        <x:f>IF(L120&lt;N120,"Critical",IF(L120&lt;=60,"At Risk",IF(L120&lt;=120,"Tight","Adequate")))</x:f>
        <x:v>Tight</x:v>
      </x:c>
      <x:c r="P120" s="12" t="str">
        <x:f>IF(O120="Critical","Escalate supply review and confirm allocation",IF(O120="At Risk","Prioritize available inventory and expedite inbound supply",IF(O120="Tight","Monitor demand and expedite purchase orders","Maintain planned replenishment")))</x:f>
        <x:v>Monitor demand and expedite purchase orders</x:v>
      </x:c>
    </x:row>
    <x:row r="121">
      <x:c r="A121" s="8" t="str">
        <x:v>2026-06-14</x:v>
      </x:c>
      <x:c r="B121" t="str">
        <x:v>Central Warehouse B</x:v>
      </x:c>
      <x:c r="C121" t="str">
        <x:v>RX-ONC-ORAL</x:v>
      </x:c>
      <x:c r="D121" t="str">
        <x:v>Product Iota</x:v>
      </x:c>
      <x:c r="E121" t="str">
        <x:v>Ambient</x:v>
      </x:c>
      <x:c r="F121" s="9" t="n">
        <x:v>1564</x:v>
      </x:c>
      <x:c r="G121" s="9" t="n">
        <x:v>547</x:v>
      </x:c>
      <x:c r="H121" s="9" t="n">
        <x:f>F121-G121</x:f>
        <x:v>1017</x:v>
      </x:c>
      <x:c r="I121" s="9" t="n">
        <x:v>114</x:v>
      </x:c>
      <x:c r="J121" s="9" t="n">
        <x:v>76</x:v>
      </x:c>
      <x:c r="K121" s="9" t="n">
        <x:v>474</x:v>
      </x:c>
      <x:c r="L121" s="9" t="n">
        <x:f>M121*30</x:f>
        <x:v>64.36708860759494</x:v>
      </x:c>
      <x:c r="M121" s="10" t="n">
        <x:f>IF(K121=0,0,H121/K121)</x:f>
        <x:v>2.1455696202531644</x:v>
      </x:c>
      <x:c r="N121" s="11" t="n">
        <x:v>12</x:v>
      </x:c>
      <x:c r="O121" t="str">
        <x:f>IF(L121&lt;N121,"Critical",IF(L121&lt;=60,"At Risk",IF(L121&lt;=120,"Tight","Adequate")))</x:f>
        <x:v>Tight</x:v>
      </x:c>
      <x:c r="P121" s="12" t="str">
        <x:f>IF(O121="Critical","Escalate supply review and confirm allocation",IF(O121="At Risk","Prioritize available inventory and expedite inbound supply",IF(O121="Tight","Monitor demand and expedite purchase orders","Maintain planned replenishment")))</x:f>
        <x:v>Monitor demand and expedite purchase orders</x:v>
      </x:c>
    </x:row>
    <x:row r="122">
      <x:c r="A122" s="8" t="str">
        <x:v>2026-06-14</x:v>
      </x:c>
      <x:c r="B122" t="str">
        <x:v>Central Warehouse B</x:v>
      </x:c>
      <x:c r="C122" t="str">
        <x:v>RX-RARE-INF</x:v>
      </x:c>
      <x:c r="D122" t="str">
        <x:v>Product Kappa</x:v>
      </x:c>
      <x:c r="E122" t="str">
        <x:v>Refrigerated (2-8 C)</x:v>
      </x:c>
      <x:c r="F122" s="9" t="n">
        <x:v>291</x:v>
      </x:c>
      <x:c r="G122" s="9" t="n">
        <x:v>0</x:v>
      </x:c>
      <x:c r="H122" s="9" t="n">
        <x:f>F122-G122</x:f>
        <x:v>291</x:v>
      </x:c>
      <x:c r="I122" s="9" t="n">
        <x:v>209</x:v>
      </x:c>
      <x:c r="J122" s="9" t="n">
        <x:v>140</x:v>
      </x:c>
      <x:c r="K122" s="9" t="n">
        <x:v>582</x:v>
      </x:c>
      <x:c r="L122" s="9" t="n">
        <x:f>M122*30</x:f>
        <x:v>15</x:v>
      </x:c>
      <x:c r="M122" s="10" t="n">
        <x:f>IF(K122=0,0,H122/K122)</x:f>
        <x:v>0.5</x:v>
      </x:c>
      <x:c r="N122" s="11" t="n">
        <x:v>60</x:v>
      </x:c>
      <x:c r="O122" t="str">
        <x:f>IF(L122&lt;N122,"Critical",IF(L122&lt;=60,"At Risk",IF(L122&lt;=120,"Tight","Adequate")))</x:f>
        <x:v>Critical</x:v>
      </x:c>
      <x:c r="P122" s="12" t="str">
        <x:f>IF(O122="Critical","Escalate supply review and confirm allocation",IF(O122="At Risk","Prioritize available inventory and expedite inbound supply",IF(O122="Tight","Monitor demand and expedite purchase orders","Maintain planned replenishment")))</x:f>
        <x:v>Escalate supply review and confirm allocation</x:v>
      </x:c>
    </x:row>
    <x:row r="123">
      <x:c r="A123" s="8" t="str">
        <x:v>2026-06-14</x:v>
      </x:c>
      <x:c r="B123" t="str">
        <x:v>Central Warehouse B</x:v>
      </x:c>
      <x:c r="C123" t="str">
        <x:v>DX-GENE-02</x:v>
      </x:c>
      <x:c r="D123" t="str">
        <x:v>Product Lambda</x:v>
      </x:c>
      <x:c r="E123" t="str">
        <x:v>Ambient</x:v>
      </x:c>
      <x:c r="F123" s="9" t="n">
        <x:v>587</x:v>
      </x:c>
      <x:c r="G123" s="9" t="n">
        <x:v>41</x:v>
      </x:c>
      <x:c r="H123" s="9" t="n">
        <x:f>F123-G123</x:f>
        <x:v>546</x:v>
      </x:c>
      <x:c r="I123" s="9" t="n">
        <x:v>331</x:v>
      </x:c>
      <x:c r="J123" s="9" t="n">
        <x:v>221</x:v>
      </x:c>
      <x:c r="K123" s="9" t="n">
        <x:v>690</x:v>
      </x:c>
      <x:c r="L123" s="9" t="n">
        <x:f>M123*30</x:f>
        <x:v>23.73913043478261</x:v>
      </x:c>
      <x:c r="M123" s="10" t="n">
        <x:f>IF(K123=0,0,H123/K123)</x:f>
        <x:v>0.7913043478260869</x:v>
      </x:c>
      <x:c r="N123" s="11" t="n">
        <x:v>12</x:v>
      </x:c>
      <x:c r="O123" t="str">
        <x:f>IF(L123&lt;N123,"Critical",IF(L123&lt;=60,"At Risk",IF(L123&lt;=120,"Tight","Adequate")))</x:f>
        <x:v>At Risk</x:v>
      </x:c>
      <x:c r="P123" s="12" t="str">
        <x:f>IF(O123="Critical","Escalate supply review and confirm allocation",IF(O123="At Risk","Prioritize available inventory and expedite inbound supply",IF(O123="Tight","Monitor demand and expedite purchase orders","Maintain planned replenishment")))</x:f>
        <x:v>Prioritize available inventory and expedite inbound supply</x:v>
      </x:c>
    </x:row>
    <x:row r="124">
      <x:c r="A124" s="8" t="str">
        <x:v>2026-06-14</x:v>
      </x:c>
      <x:c r="B124" t="str">
        <x:v>Central Warehouse B</x:v>
      </x:c>
      <x:c r="C124" t="str">
        <x:v>SVC-PAT-01</x:v>
      </x:c>
      <x:c r="D124" t="str">
        <x:v>Product Mu</x:v>
      </x:c>
      <x:c r="E124" t="str">
        <x:v>Not Applicable</x:v>
      </x:c>
      <x:c r="F124" s="9" t="n">
        <x:v>958</x:v>
      </x:c>
      <x:c r="G124" s="9" t="n">
        <x:v>134</x:v>
      </x:c>
      <x:c r="H124" s="9" t="n">
        <x:f>F124-G124</x:f>
        <x:v>824</x:v>
      </x:c>
      <x:c r="I124" s="9" t="n">
        <x:v>0</x:v>
      </x:c>
      <x:c r="J124" s="9" t="n">
        <x:v>0</x:v>
      </x:c>
      <x:c r="K124" s="9" t="n">
        <x:v>798</x:v>
      </x:c>
      <x:c r="L124" s="9" t="n">
        <x:f>M124*30</x:f>
        <x:v>30.977443609022554</x:v>
      </x:c>
      <x:c r="M124" s="10" t="n">
        <x:f>IF(K124=0,0,H124/K124)</x:f>
        <x:v>1.0325814536340852</x:v>
      </x:c>
      <x:c r="N124" s="11" t="n">
        <x:v>14</x:v>
      </x:c>
      <x:c r="O124" t="str">
        <x:f>IF(L124&lt;N124,"Critical",IF(L124&lt;=60,"At Risk",IF(L124&lt;=120,"Tight","Adequate")))</x:f>
        <x:v>At Risk</x:v>
      </x:c>
      <x:c r="P124" s="12" t="str">
        <x:f>IF(O124="Critical","Escalate supply review and confirm allocation",IF(O124="At Risk","Prioritize available inventory and expedite inbound supply",IF(O124="Tight","Monitor demand and expedite purchase orders","Maintain planned replenishment")))</x:f>
        <x:v>Prioritize available inventory and expedite inbound supply</x:v>
      </x:c>
    </x:row>
    <x:row r="125">
      <x:c r="A125" s="8" t="str">
        <x:v>2026-06-14</x:v>
      </x:c>
      <x:c r="B125" t="str">
        <x:v>Regional Warehouse B</x:v>
      </x:c>
      <x:c r="C125" t="str">
        <x:v>RX-ONC-100</x:v>
      </x:c>
      <x:c r="D125" t="str">
        <x:v>Product Alpha</x:v>
      </x:c>
      <x:c r="E125" t="str">
        <x:v>Refrigerated (2-8 C)</x:v>
      </x:c>
      <x:c r="F125" s="9" t="n">
        <x:v>514</x:v>
      </x:c>
      <x:c r="G125" s="9" t="n">
        <x:v>144</x:v>
      </x:c>
      <x:c r="H125" s="9" t="n">
        <x:f>F125-G125</x:f>
        <x:v>370</x:v>
      </x:c>
      <x:c r="I125" s="9" t="n">
        <x:v>0</x:v>
      </x:c>
      <x:c r="J125" s="9" t="n">
        <x:v>0</x:v>
      </x:c>
      <x:c r="K125" s="9" t="n">
        <x:v>605</x:v>
      </x:c>
      <x:c r="L125" s="9" t="n">
        <x:f>M125*30</x:f>
        <x:v>18.34710743801653</x:v>
      </x:c>
      <x:c r="M125" s="10" t="n">
        <x:f>IF(K125=0,0,H125/K125)</x:f>
        <x:v>0.6115702479338843</x:v>
      </x:c>
      <x:c r="N125" s="11" t="n">
        <x:v>21</x:v>
      </x:c>
      <x:c r="O125" t="str">
        <x:f>IF(L125&lt;N125,"Critical",IF(L125&lt;=60,"At Risk",IF(L125&lt;=120,"Tight","Adequate")))</x:f>
        <x:v>Critical</x:v>
      </x:c>
      <x:c r="P125" s="12" t="str">
        <x:f>IF(O125="Critical","Escalate supply review and confirm allocation",IF(O125="At Risk","Prioritize available inventory and expedite inbound supply",IF(O125="Tight","Monitor demand and expedite purchase orders","Maintain planned replenishment")))</x:f>
        <x:v>Escalate supply review and confirm allocation</x:v>
      </x:c>
    </x:row>
    <x:row r="126">
      <x:c r="A126" s="8" t="str">
        <x:v>2026-06-14</x:v>
      </x:c>
      <x:c r="B126" t="str">
        <x:v>Regional Warehouse B</x:v>
      </x:c>
      <x:c r="C126" t="str">
        <x:v>RX-ONC-500</x:v>
      </x:c>
      <x:c r="D126" t="str">
        <x:v>Product Beta</x:v>
      </x:c>
      <x:c r="E126" t="str">
        <x:v>Refrigerated (2-8 C)</x:v>
      </x:c>
      <x:c r="F126" s="9" t="n">
        <x:v>866</x:v>
      </x:c>
      <x:c r="G126" s="9" t="n">
        <x:v>303</x:v>
      </x:c>
      <x:c r="H126" s="9" t="n">
        <x:f>F126-G126</x:f>
        <x:v>563</x:v>
      </x:c>
      <x:c r="I126" s="9" t="n">
        <x:v>86</x:v>
      </x:c>
      <x:c r="J126" s="9" t="n">
        <x:v>58</x:v>
      </x:c>
      <x:c r="K126" s="9" t="n">
        <x:v>722</x:v>
      </x:c>
      <x:c r="L126" s="9" t="n">
        <x:f>M126*30</x:f>
        <x:v>23.393351800554015</x:v>
      </x:c>
      <x:c r="M126" s="10" t="n">
        <x:f>IF(K126=0,0,H126/K126)</x:f>
        <x:v>0.7797783933518005</x:v>
      </x:c>
      <x:c r="N126" s="11" t="n">
        <x:v>28</x:v>
      </x:c>
      <x:c r="O126" t="str">
        <x:f>IF(L126&lt;N126,"Critical",IF(L126&lt;=60,"At Risk",IF(L126&lt;=120,"Tight","Adequate")))</x:f>
        <x:v>Critical</x:v>
      </x:c>
      <x:c r="P126" s="12" t="str">
        <x:f>IF(O126="Critical","Escalate supply review and confirm allocation",IF(O126="At Risk","Prioritize available inventory and expedite inbound supply",IF(O126="Tight","Monitor demand and expedite purchase orders","Maintain planned replenishment")))</x:f>
        <x:v>Escalate supply review and confirm allocation</x:v>
      </x:c>
    </x:row>
    <x:row r="127">
      <x:c r="A127" s="8" t="str">
        <x:v>2026-06-14</x:v>
      </x:c>
      <x:c r="B127" t="str">
        <x:v>Regional Warehouse B</x:v>
      </x:c>
      <x:c r="C127" t="str">
        <x:v>BIO-RA-200</x:v>
      </x:c>
      <x:c r="D127" t="str">
        <x:v>Product Gamma</x:v>
      </x:c>
      <x:c r="E127" t="str">
        <x:v>Refrigerated (2-8 C)</x:v>
      </x:c>
      <x:c r="F127" s="9" t="n">
        <x:v>1300</x:v>
      </x:c>
      <x:c r="G127" s="9" t="n">
        <x:v>0</x:v>
      </x:c>
      <x:c r="H127" s="9" t="n">
        <x:f>F127-G127</x:f>
        <x:v>1300</x:v>
      </x:c>
      <x:c r="I127" s="9" t="n">
        <x:v>202</x:v>
      </x:c>
      <x:c r="J127" s="9" t="n">
        <x:v>134</x:v>
      </x:c>
      <x:c r="K127" s="9" t="n">
        <x:v>839</x:v>
      </x:c>
      <x:c r="L127" s="9" t="n">
        <x:f>M127*30</x:f>
        <x:v>46.48390941597139</x:v>
      </x:c>
      <x:c r="M127" s="10" t="n">
        <x:f>IF(K127=0,0,H127/K127)</x:f>
        <x:v>1.5494636471990464</x:v>
      </x:c>
      <x:c r="N127" s="11" t="n">
        <x:v>18</x:v>
      </x:c>
      <x:c r="O127" t="str">
        <x:f>IF(L127&lt;N127,"Critical",IF(L127&lt;=60,"At Risk",IF(L127&lt;=120,"Tight","Adequate")))</x:f>
        <x:v>At Risk</x:v>
      </x:c>
      <x:c r="P127" s="12" t="str">
        <x:f>IF(O127="Critical","Escalate supply review and confirm allocation",IF(O127="At Risk","Prioritize available inventory and expedite inbound supply",IF(O127="Tight","Monitor demand and expedite purchase orders","Maintain planned replenishment")))</x:f>
        <x:v>Prioritize available inventory and expedite inbound supply</x:v>
      </x:c>
    </x:row>
    <x:row r="128">
      <x:c r="A128" s="8" t="str">
        <x:v>2026-06-14</x:v>
      </x:c>
      <x:c r="B128" t="str">
        <x:v>Regional Warehouse B</x:v>
      </x:c>
      <x:c r="C128" t="str">
        <x:v>RX-CARD-50</x:v>
      </x:c>
      <x:c r="D128" t="str">
        <x:v>Product Delta</x:v>
      </x:c>
      <x:c r="E128" t="str">
        <x:v>Ambient</x:v>
      </x:c>
      <x:c r="F128" s="9" t="n">
        <x:v>1816</x:v>
      </x:c>
      <x:c r="G128" s="9" t="n">
        <x:v>127</x:v>
      </x:c>
      <x:c r="H128" s="9" t="n">
        <x:f>F128-G128</x:f>
        <x:v>1689</x:v>
      </x:c>
      <x:c r="I128" s="9" t="n">
        <x:v>344</x:v>
      </x:c>
      <x:c r="J128" s="9" t="n">
        <x:v>230</x:v>
      </x:c>
      <x:c r="K128" s="9" t="n">
        <x:v>956</x:v>
      </x:c>
      <x:c r="L128" s="9" t="n">
        <x:f>M128*30</x:f>
        <x:v>53.00209205020921</x:v>
      </x:c>
      <x:c r="M128" s="10" t="n">
        <x:f>IF(K128=0,0,H128/K128)</x:f>
        <x:v>1.7667364016736402</x:v>
      </x:c>
      <x:c r="N128" s="11" t="n">
        <x:v>7</x:v>
      </x:c>
      <x:c r="O128" t="str">
        <x:f>IF(L128&lt;N128,"Critical",IF(L128&lt;=60,"At Risk",IF(L128&lt;=120,"Tight","Adequate")))</x:f>
        <x:v>At Risk</x:v>
      </x:c>
      <x:c r="P128" s="12" t="str">
        <x:f>IF(O128="Critical","Escalate supply review and confirm allocation",IF(O128="At Risk","Prioritize available inventory and expedite inbound supply",IF(O128="Tight","Monitor demand and expedite purchase orders","Maintain planned replenishment")))</x:f>
        <x:v>Prioritize available inventory and expedite inbound supply</x:v>
      </x:c>
    </x:row>
    <x:row r="129">
      <x:c r="A129" s="8" t="str">
        <x:v>2026-06-14</x:v>
      </x:c>
      <x:c r="B129" t="str">
        <x:v>Regional Warehouse B</x:v>
      </x:c>
      <x:c r="C129" t="str">
        <x:v>RX-RARE-10</x:v>
      </x:c>
      <x:c r="D129" t="str">
        <x:v>Product Epsilon</x:v>
      </x:c>
      <x:c r="E129" t="str">
        <x:v>Refrigerated (2-8 C)</x:v>
      </x:c>
      <x:c r="F129" s="9" t="n">
        <x:v>277</x:v>
      </x:c>
      <x:c r="G129" s="9" t="n">
        <x:v>39</x:v>
      </x:c>
      <x:c r="H129" s="9" t="n">
        <x:f>F129-G129</x:f>
        <x:v>238</x:v>
      </x:c>
      <x:c r="I129" s="9" t="n">
        <x:v>59</x:v>
      </x:c>
      <x:c r="J129" s="9" t="n">
        <x:v>39</x:v>
      </x:c>
      <x:c r="K129" s="9" t="n">
        <x:v>123</x:v>
      </x:c>
      <x:c r="L129" s="9" t="n">
        <x:f>M129*30</x:f>
        <x:v>58.04878048780488</x:v>
      </x:c>
      <x:c r="M129" s="10" t="n">
        <x:f>IF(K129=0,0,H129/K129)</x:f>
        <x:v>1.934959349593496</x:v>
      </x:c>
      <x:c r="N129" s="11" t="n">
        <x:v>45</x:v>
      </x:c>
      <x:c r="O129" t="str">
        <x:f>IF(L129&lt;N129,"Critical",IF(L129&lt;=60,"At Risk",IF(L129&lt;=120,"Tight","Adequate")))</x:f>
        <x:v>At Risk</x:v>
      </x:c>
      <x:c r="P129" s="12" t="str">
        <x:f>IF(O129="Critical","Escalate supply review and confirm allocation",IF(O129="At Risk","Prioritize available inventory and expedite inbound supply",IF(O129="Tight","Monitor demand and expedite purchase orders","Maintain planned replenishment")))</x:f>
        <x:v>Prioritize available inventory and expedite inbound supply</x:v>
      </x:c>
    </x:row>
    <x:row r="130">
      <x:c r="A130" s="8" t="str">
        <x:v>2026-06-14</x:v>
      </x:c>
      <x:c r="B130" t="str">
        <x:v>Regional Warehouse B</x:v>
      </x:c>
      <x:c r="C130" t="str">
        <x:v>DX-COMP-01</x:v>
      </x:c>
      <x:c r="D130" t="str">
        <x:v>Product Zeta</x:v>
      </x:c>
      <x:c r="E130" t="str">
        <x:v>Ambient</x:v>
      </x:c>
      <x:c r="F130" s="9" t="n">
        <x:v>624</x:v>
      </x:c>
      <x:c r="G130" s="9" t="n">
        <x:v>131</x:v>
      </x:c>
      <x:c r="H130" s="9" t="n">
        <x:f>F130-G130</x:f>
        <x:v>493</x:v>
      </x:c>
      <x:c r="I130" s="9" t="n">
        <x:v>0</x:v>
      </x:c>
      <x:c r="J130" s="9" t="n">
        <x:v>0</x:v>
      </x:c>
      <x:c r="K130" s="9" t="n">
        <x:v>240</x:v>
      </x:c>
      <x:c r="L130" s="9" t="n">
        <x:f>M130*30</x:f>
        <x:v>61.625</x:v>
      </x:c>
      <x:c r="M130" s="10" t="n">
        <x:f>IF(K130=0,0,H130/K130)</x:f>
        <x:v>2.0541666666666667</x:v>
      </x:c>
      <x:c r="N130" s="11" t="n">
        <x:v>10</x:v>
      </x:c>
      <x:c r="O130" t="str">
        <x:f>IF(L130&lt;N130,"Critical",IF(L130&lt;=60,"At Risk",IF(L130&lt;=120,"Tight","Adequate")))</x:f>
        <x:v>Tight</x:v>
      </x:c>
      <x:c r="P130" s="12" t="str">
        <x:f>IF(O130="Critical","Escalate supply review and confirm allocation",IF(O130="At Risk","Prioritize available inventory and expedite inbound supply",IF(O130="Tight","Monitor demand and expedite purchase orders","Maintain planned replenishment")))</x:f>
        <x:v>Monitor demand and expedite purchase orders</x:v>
      </x:c>
    </x:row>
    <x:row r="131">
      <x:c r="A131" s="8" t="str">
        <x:v>2026-06-14</x:v>
      </x:c>
      <x:c r="B131" t="str">
        <x:v>Regional Warehouse B</x:v>
      </x:c>
      <x:c r="C131" t="str">
        <x:v>RX-HOSP-20</x:v>
      </x:c>
      <x:c r="D131" t="str">
        <x:v>Product Eta</x:v>
      </x:c>
      <x:c r="E131" t="str">
        <x:v>Ambient</x:v>
      </x:c>
      <x:c r="F131" s="9" t="n">
        <x:v>1053</x:v>
      </x:c>
      <x:c r="G131" s="9" t="n">
        <x:v>295</x:v>
      </x:c>
      <x:c r="H131" s="9" t="n">
        <x:f>F131-G131</x:f>
        <x:v>758</x:v>
      </x:c>
      <x:c r="I131" s="9" t="n">
        <x:v>43</x:v>
      </x:c>
      <x:c r="J131" s="9" t="n">
        <x:v>28</x:v>
      </x:c>
      <x:c r="K131" s="9" t="n">
        <x:v>357</x:v>
      </x:c>
      <x:c r="L131" s="9" t="n">
        <x:f>M131*30</x:f>
        <x:v>63.69747899159664</x:v>
      </x:c>
      <x:c r="M131" s="10" t="n">
        <x:f>IF(K131=0,0,H131/K131)</x:f>
        <x:v>2.123249299719888</x:v>
      </x:c>
      <x:c r="N131" s="11" t="n">
        <x:v>14</x:v>
      </x:c>
      <x:c r="O131" t="str">
        <x:f>IF(L131&lt;N131,"Critical",IF(L131&lt;=60,"At Risk",IF(L131&lt;=120,"Tight","Adequate")))</x:f>
        <x:v>Tight</x:v>
      </x:c>
      <x:c r="P131" s="12" t="str">
        <x:f>IF(O131="Critical","Escalate supply review and confirm allocation",IF(O131="At Risk","Prioritize available inventory and expedite inbound supply",IF(O131="Tight","Monitor demand and expedite purchase orders","Maintain planned replenishment")))</x:f>
        <x:v>Monitor demand and expedite purchase orders</x:v>
      </x:c>
    </x:row>
    <x:row r="132">
      <x:c r="A132" s="8" t="str">
        <x:v>2026-06-14</x:v>
      </x:c>
      <x:c r="B132" t="str">
        <x:v>Regional Warehouse B</x:v>
      </x:c>
      <x:c r="C132" t="str">
        <x:v>BIO-DERM-80</x:v>
      </x:c>
      <x:c r="D132" t="str">
        <x:v>Product Theta</x:v>
      </x:c>
      <x:c r="E132" t="str">
        <x:v>Refrigerated (2-8 C)</x:v>
      </x:c>
      <x:c r="F132" s="9" t="n">
        <x:v>1564</x:v>
      </x:c>
      <x:c r="G132" s="9" t="n">
        <x:v>547</x:v>
      </x:c>
      <x:c r="H132" s="9" t="n">
        <x:f>F132-G132</x:f>
        <x:v>1017</x:v>
      </x:c>
      <x:c r="I132" s="9" t="n">
        <x:v>114</x:v>
      </x:c>
      <x:c r="J132" s="9" t="n">
        <x:v>76</x:v>
      </x:c>
      <x:c r="K132" s="9" t="n">
        <x:v>474</x:v>
      </x:c>
      <x:c r="L132" s="9" t="n">
        <x:f>M132*30</x:f>
        <x:v>64.36708860759494</x:v>
      </x:c>
      <x:c r="M132" s="10" t="n">
        <x:f>IF(K132=0,0,H132/K132)</x:f>
        <x:v>2.1455696202531644</x:v>
      </x:c>
      <x:c r="N132" s="11" t="n">
        <x:v>16</x:v>
      </x:c>
      <x:c r="O132" t="str">
        <x:f>IF(L132&lt;N132,"Critical",IF(L132&lt;=60,"At Risk",IF(L132&lt;=120,"Tight","Adequate")))</x:f>
        <x:v>Tight</x:v>
      </x:c>
      <x:c r="P132" s="12" t="str">
        <x:f>IF(O132="Critical","Escalate supply review and confirm allocation",IF(O132="At Risk","Prioritize available inventory and expedite inbound supply",IF(O132="Tight","Monitor demand and expedite purchase orders","Maintain planned replenishment")))</x:f>
        <x:v>Monitor demand and expedite purchase orders</x:v>
      </x:c>
    </x:row>
    <x:row r="133">
      <x:c r="A133" s="8" t="str">
        <x:v>2026-06-14</x:v>
      </x:c>
      <x:c r="B133" t="str">
        <x:v>Regional Warehouse B</x:v>
      </x:c>
      <x:c r="C133" t="str">
        <x:v>RX-ONC-ORAL</x:v>
      </x:c>
      <x:c r="D133" t="str">
        <x:v>Product Iota</x:v>
      </x:c>
      <x:c r="E133" t="str">
        <x:v>Ambient</x:v>
      </x:c>
      <x:c r="F133" s="9" t="n">
        <x:v>296</x:v>
      </x:c>
      <x:c r="G133" s="9" t="n">
        <x:v>0</x:v>
      </x:c>
      <x:c r="H133" s="9" t="n">
        <x:f>F133-G133</x:f>
        <x:v>296</x:v>
      </x:c>
      <x:c r="I133" s="9" t="n">
        <x:v>213</x:v>
      </x:c>
      <x:c r="J133" s="9" t="n">
        <x:v>142</x:v>
      </x:c>
      <x:c r="K133" s="9" t="n">
        <x:v>591</x:v>
      </x:c>
      <x:c r="L133" s="9" t="n">
        <x:f>M133*30</x:f>
        <x:v>15.025380710659897</x:v>
      </x:c>
      <x:c r="M133" s="10" t="n">
        <x:f>IF(K133=0,0,H133/K133)</x:f>
        <x:v>0.5008460236886633</x:v>
      </x:c>
      <x:c r="N133" s="11" t="n">
        <x:v>12</x:v>
      </x:c>
      <x:c r="O133" t="str">
        <x:f>IF(L133&lt;N133,"Critical",IF(L133&lt;=60,"At Risk",IF(L133&lt;=120,"Tight","Adequate")))</x:f>
        <x:v>At Risk</x:v>
      </x:c>
      <x:c r="P133" s="12" t="str">
        <x:f>IF(O133="Critical","Escalate supply review and confirm allocation",IF(O133="At Risk","Prioritize available inventory and expedite inbound supply",IF(O133="Tight","Monitor demand and expedite purchase orders","Maintain planned replenishment")))</x:f>
        <x:v>Prioritize available inventory and expedite inbound supply</x:v>
      </x:c>
    </x:row>
    <x:row r="134">
      <x:c r="A134" s="8" t="str">
        <x:v>2026-06-14</x:v>
      </x:c>
      <x:c r="B134" t="str">
        <x:v>Regional Warehouse B</x:v>
      </x:c>
      <x:c r="C134" t="str">
        <x:v>RX-RARE-INF</x:v>
      </x:c>
      <x:c r="D134" t="str">
        <x:v>Product Kappa</x:v>
      </x:c>
      <x:c r="E134" t="str">
        <x:v>Refrigerated (2-8 C)</x:v>
      </x:c>
      <x:c r="F134" s="9" t="n">
        <x:v>602</x:v>
      </x:c>
      <x:c r="G134" s="9" t="n">
        <x:v>42</x:v>
      </x:c>
      <x:c r="H134" s="9" t="n">
        <x:f>F134-G134</x:f>
        <x:v>560</x:v>
      </x:c>
      <x:c r="I134" s="9" t="n">
        <x:v>340</x:v>
      </x:c>
      <x:c r="J134" s="9" t="n">
        <x:v>226</x:v>
      </x:c>
      <x:c r="K134" s="9" t="n">
        <x:v>708</x:v>
      </x:c>
      <x:c r="L134" s="9" t="n">
        <x:f>M134*30</x:f>
        <x:v>23.728813559322035</x:v>
      </x:c>
      <x:c r="M134" s="10" t="n">
        <x:f>IF(K134=0,0,H134/K134)</x:f>
        <x:v>0.7909604519774012</x:v>
      </x:c>
      <x:c r="N134" s="11" t="n">
        <x:v>60</x:v>
      </x:c>
      <x:c r="O134" t="str">
        <x:f>IF(L134&lt;N134,"Critical",IF(L134&lt;=60,"At Risk",IF(L134&lt;=120,"Tight","Adequate")))</x:f>
        <x:v>Critical</x:v>
      </x:c>
      <x:c r="P134" s="12" t="str">
        <x:f>IF(O134="Critical","Escalate supply review and confirm allocation",IF(O134="At Risk","Prioritize available inventory and expedite inbound supply",IF(O134="Tight","Monitor demand and expedite purchase orders","Maintain planned replenishment")))</x:f>
        <x:v>Escalate supply review and confirm allocation</x:v>
      </x:c>
    </x:row>
    <x:row r="135">
      <x:c r="A135" s="8" t="str">
        <x:v>2026-06-14</x:v>
      </x:c>
      <x:c r="B135" t="str">
        <x:v>Regional Warehouse B</x:v>
      </x:c>
      <x:c r="C135" t="str">
        <x:v>DX-GENE-02</x:v>
      </x:c>
      <x:c r="D135" t="str">
        <x:v>Product Lambda</x:v>
      </x:c>
      <x:c r="E135" t="str">
        <x:v>Ambient</x:v>
      </x:c>
      <x:c r="F135" s="9" t="n">
        <x:v>990</x:v>
      </x:c>
      <x:c r="G135" s="9" t="n">
        <x:v>139</x:v>
      </x:c>
      <x:c r="H135" s="9" t="n">
        <x:f>F135-G135</x:f>
        <x:v>851</x:v>
      </x:c>
      <x:c r="I135" s="9" t="n">
        <x:v>0</x:v>
      </x:c>
      <x:c r="J135" s="9" t="n">
        <x:v>0</x:v>
      </x:c>
      <x:c r="K135" s="9" t="n">
        <x:v>825</x:v>
      </x:c>
      <x:c r="L135" s="9" t="n">
        <x:f>M135*30</x:f>
        <x:v>30.945454545454545</x:v>
      </x:c>
      <x:c r="M135" s="10" t="n">
        <x:f>IF(K135=0,0,H135/K135)</x:f>
        <x:v>1.0315151515151515</x:v>
      </x:c>
      <x:c r="N135" s="11" t="n">
        <x:v>12</x:v>
      </x:c>
      <x:c r="O135" t="str">
        <x:f>IF(L135&lt;N135,"Critical",IF(L135&lt;=60,"At Risk",IF(L135&lt;=120,"Tight","Adequate")))</x:f>
        <x:v>At Risk</x:v>
      </x:c>
      <x:c r="P135" s="12" t="str">
        <x:f>IF(O135="Critical","Escalate supply review and confirm allocation",IF(O135="At Risk","Prioritize available inventory and expedite inbound supply",IF(O135="Tight","Monitor demand and expedite purchase orders","Maintain planned replenishment")))</x:f>
        <x:v>Prioritize available inventory and expedite inbound supply</x:v>
      </x:c>
    </x:row>
    <x:row r="136">
      <x:c r="A136" s="8" t="str">
        <x:v>2026-06-14</x:v>
      </x:c>
      <x:c r="B136" t="str">
        <x:v>Regional Warehouse B</x:v>
      </x:c>
      <x:c r="C136" t="str">
        <x:v>SVC-PAT-01</x:v>
      </x:c>
      <x:c r="D136" t="str">
        <x:v>Product Mu</x:v>
      </x:c>
      <x:c r="E136" t="str">
        <x:v>Not Applicable</x:v>
      </x:c>
      <x:c r="F136" s="9" t="n">
        <x:v>1460</x:v>
      </x:c>
      <x:c r="G136" s="9" t="n">
        <x:v>307</x:v>
      </x:c>
      <x:c r="H136" s="9" t="n">
        <x:f>F136-G136</x:f>
        <x:v>1153</x:v>
      </x:c>
      <x:c r="I136" s="9" t="n">
        <x:v>113</x:v>
      </x:c>
      <x:c r="J136" s="9" t="n">
        <x:v>75</x:v>
      </x:c>
      <x:c r="K136" s="9" t="n">
        <x:v>942</x:v>
      </x:c>
      <x:c r="L136" s="9" t="n">
        <x:f>M136*30</x:f>
        <x:v>36.71974522292994</x:v>
      </x:c>
      <x:c r="M136" s="10" t="n">
        <x:f>IF(K136=0,0,H136/K136)</x:f>
        <x:v>1.223991507430998</x:v>
      </x:c>
      <x:c r="N136" s="11" t="n">
        <x:v>14</x:v>
      </x:c>
      <x:c r="O136" t="str">
        <x:f>IF(L136&lt;N136,"Critical",IF(L136&lt;=60,"At Risk",IF(L136&lt;=120,"Tight","Adequate")))</x:f>
        <x:v>At Risk</x:v>
      </x:c>
      <x:c r="P136" s="12" t="str">
        <x:f>IF(O136="Critical","Escalate supply review and confirm allocation",IF(O136="At Risk","Prioritize available inventory and expedite inbound supply",IF(O136="Tight","Monitor demand and expedite purchase orders","Maintain planned replenishment")))</x:f>
        <x:v>Prioritize available inventory and expedite inbound supply</x:v>
      </x:c>
    </x:row>
    <x:row r="137">
      <x:c r="A137" s="8" t="str">
        <x:v>2026-06-14</x:v>
      </x:c>
      <x:c r="B137" t="str">
        <x:v>Regional Warehouse C</x:v>
      </x:c>
      <x:c r="C137" t="str">
        <x:v>RX-ONC-100</x:v>
      </x:c>
      <x:c r="D137" t="str">
        <x:v>Product Alpha</x:v>
      </x:c>
      <x:c r="E137" t="str">
        <x:v>Refrigerated (2-8 C)</x:v>
      </x:c>
      <x:c r="F137" s="9" t="n">
        <x:v>780</x:v>
      </x:c>
      <x:c r="G137" s="9" t="n">
        <x:v>273</x:v>
      </x:c>
      <x:c r="H137" s="9" t="n">
        <x:f>F137-G137</x:f>
        <x:v>507</x:v>
      </x:c>
      <x:c r="I137" s="9" t="n">
        <x:v>78</x:v>
      </x:c>
      <x:c r="J137" s="9" t="n">
        <x:v>52</x:v>
      </x:c>
      <x:c r="K137" s="9" t="n">
        <x:v>650</x:v>
      </x:c>
      <x:c r="L137" s="9" t="n">
        <x:f>M137*30</x:f>
        <x:v>23.400000000000002</x:v>
      </x:c>
      <x:c r="M137" s="10" t="n">
        <x:f>IF(K137=0,0,H137/K137)</x:f>
        <x:v>0.78</x:v>
      </x:c>
      <x:c r="N137" s="11" t="n">
        <x:v>21</x:v>
      </x:c>
      <x:c r="O137" t="str">
        <x:f>IF(L137&lt;N137,"Critical",IF(L137&lt;=60,"At Risk",IF(L137&lt;=120,"Tight","Adequate")))</x:f>
        <x:v>At Risk</x:v>
      </x:c>
      <x:c r="P137" s="12" t="str">
        <x:f>IF(O137="Critical","Escalate supply review and confirm allocation",IF(O137="At Risk","Prioritize available inventory and expedite inbound supply",IF(O137="Tight","Monitor demand and expedite purchase orders","Maintain planned replenishment")))</x:f>
        <x:v>Prioritize available inventory and expedite inbound supply</x:v>
      </x:c>
    </x:row>
    <x:row r="138">
      <x:c r="A138" s="8" t="str">
        <x:v>2026-06-14</x:v>
      </x:c>
      <x:c r="B138" t="str">
        <x:v>Regional Warehouse C</x:v>
      </x:c>
      <x:c r="C138" t="str">
        <x:v>RX-ONC-500</x:v>
      </x:c>
      <x:c r="D138" t="str">
        <x:v>Product Beta</x:v>
      </x:c>
      <x:c r="E138" t="str">
        <x:v>Refrigerated (2-8 C)</x:v>
      </x:c>
      <x:c r="F138" s="9" t="n">
        <x:v>1203</x:v>
      </x:c>
      <x:c r="G138" s="9" t="n">
        <x:v>0</x:v>
      </x:c>
      <x:c r="H138" s="9" t="n">
        <x:f>F138-G138</x:f>
        <x:v>1203</x:v>
      </x:c>
      <x:c r="I138" s="9" t="n">
        <x:v>186</x:v>
      </x:c>
      <x:c r="J138" s="9" t="n">
        <x:v>124</x:v>
      </x:c>
      <x:c r="K138" s="9" t="n">
        <x:v>776</x:v>
      </x:c>
      <x:c r="L138" s="9" t="n">
        <x:f>M138*30</x:f>
        <x:v>46.50773195876289</x:v>
      </x:c>
      <x:c r="M138" s="10" t="n">
        <x:f>IF(K138=0,0,H138/K138)</x:f>
        <x:v>1.550257731958763</x:v>
      </x:c>
      <x:c r="N138" s="11" t="n">
        <x:v>28</x:v>
      </x:c>
      <x:c r="O138" t="str">
        <x:f>IF(L138&lt;N138,"Critical",IF(L138&lt;=60,"At Risk",IF(L138&lt;=120,"Tight","Adequate")))</x:f>
        <x:v>At Risk</x:v>
      </x:c>
      <x:c r="P138" s="12" t="str">
        <x:f>IF(O138="Critical","Escalate supply review and confirm allocation",IF(O138="At Risk","Prioritize available inventory and expedite inbound supply",IF(O138="Tight","Monitor demand and expedite purchase orders","Maintain planned replenishment")))</x:f>
        <x:v>Prioritize available inventory and expedite inbound supply</x:v>
      </x:c>
    </x:row>
    <x:row r="139">
      <x:c r="A139" s="8" t="str">
        <x:v>2026-06-14</x:v>
      </x:c>
      <x:c r="B139" t="str">
        <x:v>Regional Warehouse C</x:v>
      </x:c>
      <x:c r="C139" t="str">
        <x:v>BIO-RA-200</x:v>
      </x:c>
      <x:c r="D139" t="str">
        <x:v>Product Gamma</x:v>
      </x:c>
      <x:c r="E139" t="str">
        <x:v>Refrigerated (2-8 C)</x:v>
      </x:c>
      <x:c r="F139" s="9" t="n">
        <x:v>1714</x:v>
      </x:c>
      <x:c r="G139" s="9" t="n">
        <x:v>120</x:v>
      </x:c>
      <x:c r="H139" s="9" t="n">
        <x:f>F139-G139</x:f>
        <x:v>1594</x:v>
      </x:c>
      <x:c r="I139" s="9" t="n">
        <x:v>325</x:v>
      </x:c>
      <x:c r="J139" s="9" t="n">
        <x:v>216</x:v>
      </x:c>
      <x:c r="K139" s="9" t="n">
        <x:v>902</x:v>
      </x:c>
      <x:c r="L139" s="9" t="n">
        <x:f>M139*30</x:f>
        <x:v>53.01552106430155</x:v>
      </x:c>
      <x:c r="M139" s="10" t="n">
        <x:f>IF(K139=0,0,H139/K139)</x:f>
        <x:v>1.7671840354767183</x:v>
      </x:c>
      <x:c r="N139" s="11" t="n">
        <x:v>18</x:v>
      </x:c>
      <x:c r="O139" t="str">
        <x:f>IF(L139&lt;N139,"Critical",IF(L139&lt;=60,"At Risk",IF(L139&lt;=120,"Tight","Adequate")))</x:f>
        <x:v>At Risk</x:v>
      </x:c>
      <x:c r="P139" s="12" t="str">
        <x:f>IF(O139="Critical","Escalate supply review and confirm allocation",IF(O139="At Risk","Prioritize available inventory and expedite inbound supply",IF(O139="Tight","Monitor demand and expedite purchase orders","Maintain planned replenishment")))</x:f>
        <x:v>Prioritize available inventory and expedite inbound supply</x:v>
      </x:c>
    </x:row>
    <x:row r="140">
      <x:c r="A140" s="8" t="str">
        <x:v>2026-06-14</x:v>
      </x:c>
      <x:c r="B140" t="str">
        <x:v>Regional Warehouse C</x:v>
      </x:c>
      <x:c r="C140" t="str">
        <x:v>RX-CARD-50</x:v>
      </x:c>
      <x:c r="D140" t="str">
        <x:v>Product Delta</x:v>
      </x:c>
      <x:c r="E140" t="str">
        <x:v>Ambient</x:v>
      </x:c>
      <x:c r="F140" s="9" t="n">
        <x:v>176</x:v>
      </x:c>
      <x:c r="G140" s="9" t="n">
        <x:v>25</x:v>
      </x:c>
      <x:c r="H140" s="9" t="n">
        <x:f>F140-G140</x:f>
        <x:v>151</x:v>
      </x:c>
      <x:c r="I140" s="9" t="n">
        <x:v>37</x:v>
      </x:c>
      <x:c r="J140" s="9" t="n">
        <x:v>25</x:v>
      </x:c>
      <x:c r="K140" s="9" t="n">
        <x:v>78</x:v>
      </x:c>
      <x:c r="L140" s="9" t="n">
        <x:f>M140*30</x:f>
        <x:v>58.07692307692308</x:v>
      </x:c>
      <x:c r="M140" s="10" t="n">
        <x:f>IF(K140=0,0,H140/K140)</x:f>
        <x:v>1.935897435897436</x:v>
      </x:c>
      <x:c r="N140" s="11" t="n">
        <x:v>7</x:v>
      </x:c>
      <x:c r="O140" t="str">
        <x:f>IF(L140&lt;N140,"Critical",IF(L140&lt;=60,"At Risk",IF(L140&lt;=120,"Tight","Adequate")))</x:f>
        <x:v>At Risk</x:v>
      </x:c>
      <x:c r="P140" s="12" t="str">
        <x:f>IF(O140="Critical","Escalate supply review and confirm allocation",IF(O140="At Risk","Prioritize available inventory and expedite inbound supply",IF(O140="Tight","Monitor demand and expedite purchase orders","Maintain planned replenishment")))</x:f>
        <x:v>Prioritize available inventory and expedite inbound supply</x:v>
      </x:c>
    </x:row>
    <x:row r="141">
      <x:c r="A141" s="8" t="str">
        <x:v>2026-06-14</x:v>
      </x:c>
      <x:c r="B141" t="str">
        <x:v>Regional Warehouse C</x:v>
      </x:c>
      <x:c r="C141" t="str">
        <x:v>RX-RARE-10</x:v>
      </x:c>
      <x:c r="D141" t="str">
        <x:v>Product Epsilon</x:v>
      </x:c>
      <x:c r="E141" t="str">
        <x:v>Refrigerated (2-8 C)</x:v>
      </x:c>
      <x:c r="F141" s="9" t="n">
        <x:v>530</x:v>
      </x:c>
      <x:c r="G141" s="9" t="n">
        <x:v>111</x:v>
      </x:c>
      <x:c r="H141" s="9" t="n">
        <x:f>F141-G141</x:f>
        <x:v>419</x:v>
      </x:c>
      <x:c r="I141" s="9" t="n">
        <x:v>0</x:v>
      </x:c>
      <x:c r="J141" s="9" t="n">
        <x:v>0</x:v>
      </x:c>
      <x:c r="K141" s="9" t="n">
        <x:v>204</x:v>
      </x:c>
      <x:c r="L141" s="9" t="n">
        <x:f>M141*30</x:f>
        <x:v>61.61764705882352</x:v>
      </x:c>
      <x:c r="M141" s="10" t="n">
        <x:f>IF(K141=0,0,H141/K141)</x:f>
        <x:v>2.053921568627451</x:v>
      </x:c>
      <x:c r="N141" s="11" t="n">
        <x:v>45</x:v>
      </x:c>
      <x:c r="O141" t="str">
        <x:f>IF(L141&lt;N141,"Critical",IF(L141&lt;=60,"At Risk",IF(L141&lt;=120,"Tight","Adequate")))</x:f>
        <x:v>Tight</x:v>
      </x:c>
      <x:c r="P141" s="12" t="str">
        <x:f>IF(O141="Critical","Escalate supply review and confirm allocation",IF(O141="At Risk","Prioritize available inventory and expedite inbound supply",IF(O141="Tight","Monitor demand and expedite purchase orders","Maintain planned replenishment")))</x:f>
        <x:v>Monitor demand and expedite purchase orders</x:v>
      </x:c>
    </x:row>
    <x:row r="142">
      <x:c r="A142" s="8" t="str">
        <x:v>2026-06-14</x:v>
      </x:c>
      <x:c r="B142" t="str">
        <x:v>Regional Warehouse C</x:v>
      </x:c>
      <x:c r="C142" t="str">
        <x:v>DX-COMP-01</x:v>
      </x:c>
      <x:c r="D142" t="str">
        <x:v>Product Zeta</x:v>
      </x:c>
      <x:c r="E142" t="str">
        <x:v>Ambient</x:v>
      </x:c>
      <x:c r="F142" s="9" t="n">
        <x:v>973</x:v>
      </x:c>
      <x:c r="G142" s="9" t="n">
        <x:v>272</x:v>
      </x:c>
      <x:c r="H142" s="9" t="n">
        <x:f>F142-G142</x:f>
        <x:v>701</x:v>
      </x:c>
      <x:c r="I142" s="9" t="n">
        <x:v>40</x:v>
      </x:c>
      <x:c r="J142" s="9" t="n">
        <x:v>26</x:v>
      </x:c>
      <x:c r="K142" s="9" t="n">
        <x:v>330</x:v>
      </x:c>
      <x:c r="L142" s="9" t="n">
        <x:f>M142*30</x:f>
        <x:v>63.72727272727272</x:v>
      </x:c>
      <x:c r="M142" s="10" t="n">
        <x:f>IF(K142=0,0,H142/K142)</x:f>
        <x:v>2.124242424242424</x:v>
      </x:c>
      <x:c r="N142" s="11" t="n">
        <x:v>10</x:v>
      </x:c>
      <x:c r="O142" t="str">
        <x:f>IF(L142&lt;N142,"Critical",IF(L142&lt;=60,"At Risk",IF(L142&lt;=120,"Tight","Adequate")))</x:f>
        <x:v>Tight</x:v>
      </x:c>
      <x:c r="P142" s="12" t="str">
        <x:f>IF(O142="Critical","Escalate supply review and confirm allocation",IF(O142="At Risk","Prioritize available inventory and expedite inbound supply",IF(O142="Tight","Monitor demand and expedite purchase orders","Maintain planned replenishment")))</x:f>
        <x:v>Monitor demand and expedite purchase orders</x:v>
      </x:c>
    </x:row>
    <x:row r="143">
      <x:c r="A143" s="8" t="str">
        <x:v>2026-06-14</x:v>
      </x:c>
      <x:c r="B143" t="str">
        <x:v>Regional Warehouse C</x:v>
      </x:c>
      <x:c r="C143" t="str">
        <x:v>RX-HOSP-20</x:v>
      </x:c>
      <x:c r="D143" t="str">
        <x:v>Product Eta</x:v>
      </x:c>
      <x:c r="E143" t="str">
        <x:v>Ambient</x:v>
      </x:c>
      <x:c r="F143" s="9" t="n">
        <x:v>1505</x:v>
      </x:c>
      <x:c r="G143" s="9" t="n">
        <x:v>527</x:v>
      </x:c>
      <x:c r="H143" s="9" t="n">
        <x:f>F143-G143</x:f>
        <x:v>978</x:v>
      </x:c>
      <x:c r="I143" s="9" t="n">
        <x:v>109</x:v>
      </x:c>
      <x:c r="J143" s="9" t="n">
        <x:v>73</x:v>
      </x:c>
      <x:c r="K143" s="9" t="n">
        <x:v>456</x:v>
      </x:c>
      <x:c r="L143" s="9" t="n">
        <x:f>M143*30</x:f>
        <x:v>64.3421052631579</x:v>
      </x:c>
      <x:c r="M143" s="10" t="n">
        <x:f>IF(K143=0,0,H143/K143)</x:f>
        <x:v>2.1447368421052633</x:v>
      </x:c>
      <x:c r="N143" s="11" t="n">
        <x:v>14</x:v>
      </x:c>
      <x:c r="O143" t="str">
        <x:f>IF(L143&lt;N143,"Critical",IF(L143&lt;=60,"At Risk",IF(L143&lt;=120,"Tight","Adequate")))</x:f>
        <x:v>Tight</x:v>
      </x:c>
      <x:c r="P143" s="12" t="str">
        <x:f>IF(O143="Critical","Escalate supply review and confirm allocation",IF(O143="At Risk","Prioritize available inventory and expedite inbound supply",IF(O143="Tight","Monitor demand and expedite purchase orders","Maintain planned replenishment")))</x:f>
        <x:v>Monitor demand and expedite purchase orders</x:v>
      </x:c>
    </x:row>
    <x:row r="144">
      <x:c r="A144" s="8" t="str">
        <x:v>2026-06-14</x:v>
      </x:c>
      <x:c r="B144" t="str">
        <x:v>Regional Warehouse C</x:v>
      </x:c>
      <x:c r="C144" t="str">
        <x:v>BIO-DERM-80</x:v>
      </x:c>
      <x:c r="D144" t="str">
        <x:v>Product Theta</x:v>
      </x:c>
      <x:c r="E144" t="str">
        <x:v>Refrigerated (2-8 C)</x:v>
      </x:c>
      <x:c r="F144" s="9" t="n">
        <x:v>291</x:v>
      </x:c>
      <x:c r="G144" s="9" t="n">
        <x:v>0</x:v>
      </x:c>
      <x:c r="H144" s="9" t="n">
        <x:f>F144-G144</x:f>
        <x:v>291</x:v>
      </x:c>
      <x:c r="I144" s="9" t="n">
        <x:v>209</x:v>
      </x:c>
      <x:c r="J144" s="9" t="n">
        <x:v>140</x:v>
      </x:c>
      <x:c r="K144" s="9" t="n">
        <x:v>582</x:v>
      </x:c>
      <x:c r="L144" s="9" t="n">
        <x:f>M144*30</x:f>
        <x:v>15</x:v>
      </x:c>
      <x:c r="M144" s="10" t="n">
        <x:f>IF(K144=0,0,H144/K144)</x:f>
        <x:v>0.5</x:v>
      </x:c>
      <x:c r="N144" s="11" t="n">
        <x:v>16</x:v>
      </x:c>
      <x:c r="O144" t="str">
        <x:f>IF(L144&lt;N144,"Critical",IF(L144&lt;=60,"At Risk",IF(L144&lt;=120,"Tight","Adequate")))</x:f>
        <x:v>Critical</x:v>
      </x:c>
      <x:c r="P144" s="12" t="str">
        <x:f>IF(O144="Critical","Escalate supply review and confirm allocation",IF(O144="At Risk","Prioritize available inventory and expedite inbound supply",IF(O144="Tight","Monitor demand and expedite purchase orders","Maintain planned replenishment")))</x:f>
        <x:v>Escalate supply review and confirm allocation</x:v>
      </x:c>
    </x:row>
    <x:row r="145">
      <x:c r="A145" s="8" t="str">
        <x:v>2026-06-14</x:v>
      </x:c>
      <x:c r="B145" t="str">
        <x:v>Regional Warehouse C</x:v>
      </x:c>
      <x:c r="C145" t="str">
        <x:v>RX-ONC-ORAL</x:v>
      </x:c>
      <x:c r="D145" t="str">
        <x:v>Product Iota</x:v>
      </x:c>
      <x:c r="E145" t="str">
        <x:v>Ambient</x:v>
      </x:c>
      <x:c r="F145" s="9" t="n">
        <x:v>602</x:v>
      </x:c>
      <x:c r="G145" s="9" t="n">
        <x:v>42</x:v>
      </x:c>
      <x:c r="H145" s="9" t="n">
        <x:f>F145-G145</x:f>
        <x:v>560</x:v>
      </x:c>
      <x:c r="I145" s="9" t="n">
        <x:v>340</x:v>
      </x:c>
      <x:c r="J145" s="9" t="n">
        <x:v>226</x:v>
      </x:c>
      <x:c r="K145" s="9" t="n">
        <x:v>708</x:v>
      </x:c>
      <x:c r="L145" s="9" t="n">
        <x:f>M145*30</x:f>
        <x:v>23.728813559322035</x:v>
      </x:c>
      <x:c r="M145" s="10" t="n">
        <x:f>IF(K145=0,0,H145/K145)</x:f>
        <x:v>0.7909604519774012</x:v>
      </x:c>
      <x:c r="N145" s="11" t="n">
        <x:v>12</x:v>
      </x:c>
      <x:c r="O145" t="str">
        <x:f>IF(L145&lt;N145,"Critical",IF(L145&lt;=60,"At Risk",IF(L145&lt;=120,"Tight","Adequate")))</x:f>
        <x:v>At Risk</x:v>
      </x:c>
      <x:c r="P145" s="12" t="str">
        <x:f>IF(O145="Critical","Escalate supply review and confirm allocation",IF(O145="At Risk","Prioritize available inventory and expedite inbound supply",IF(O145="Tight","Monitor demand and expedite purchase orders","Maintain planned replenishment")))</x:f>
        <x:v>Prioritize available inventory and expedite inbound supply</x:v>
      </x:c>
    </x:row>
    <x:row r="146">
      <x:c r="A146" s="8" t="str">
        <x:v>2026-06-14</x:v>
      </x:c>
      <x:c r="B146" t="str">
        <x:v>Regional Warehouse C</x:v>
      </x:c>
      <x:c r="C146" t="str">
        <x:v>RX-RARE-INF</x:v>
      </x:c>
      <x:c r="D146" t="str">
        <x:v>Product Kappa</x:v>
      </x:c>
      <x:c r="E146" t="str">
        <x:v>Refrigerated (2-8 C)</x:v>
      </x:c>
      <x:c r="F146" s="9" t="n">
        <x:v>1001</x:v>
      </x:c>
      <x:c r="G146" s="9" t="n">
        <x:v>140</x:v>
      </x:c>
      <x:c r="H146" s="9" t="n">
        <x:f>F146-G146</x:f>
        <x:v>861</x:v>
      </x:c>
      <x:c r="I146" s="9" t="n">
        <x:v>0</x:v>
      </x:c>
      <x:c r="J146" s="9" t="n">
        <x:v>0</x:v>
      </x:c>
      <x:c r="K146" s="9" t="n">
        <x:v>834</x:v>
      </x:c>
      <x:c r="L146" s="9" t="n">
        <x:f>M146*30</x:f>
        <x:v>30.971223021582734</x:v>
      </x:c>
      <x:c r="M146" s="10" t="n">
        <x:f>IF(K146=0,0,H146/K146)</x:f>
        <x:v>1.0323741007194245</x:v>
      </x:c>
      <x:c r="N146" s="11" t="n">
        <x:v>60</x:v>
      </x:c>
      <x:c r="O146" t="str">
        <x:f>IF(L146&lt;N146,"Critical",IF(L146&lt;=60,"At Risk",IF(L146&lt;=120,"Tight","Adequate")))</x:f>
        <x:v>Critical</x:v>
      </x:c>
      <x:c r="P146" s="12" t="str">
        <x:f>IF(O146="Critical","Escalate supply review and confirm allocation",IF(O146="At Risk","Prioritize available inventory and expedite inbound supply",IF(O146="Tight","Monitor demand and expedite purchase orders","Maintain planned replenishment")))</x:f>
        <x:v>Escalate supply review and confirm allocation</x:v>
      </x:c>
    </x:row>
    <x:row r="147">
      <x:c r="A147" s="8" t="str">
        <x:v>2026-06-14</x:v>
      </x:c>
      <x:c r="B147" t="str">
        <x:v>Regional Warehouse C</x:v>
      </x:c>
      <x:c r="C147" t="str">
        <x:v>DX-GENE-02</x:v>
      </x:c>
      <x:c r="D147" t="str">
        <x:v>Product Lambda</x:v>
      </x:c>
      <x:c r="E147" t="str">
        <x:v>Ambient</x:v>
      </x:c>
      <x:c r="F147" s="9" t="n">
        <x:v>1488</x:v>
      </x:c>
      <x:c r="G147" s="9" t="n">
        <x:v>312</x:v>
      </x:c>
      <x:c r="H147" s="9" t="n">
        <x:f>F147-G147</x:f>
        <x:v>1176</x:v>
      </x:c>
      <x:c r="I147" s="9" t="n">
        <x:v>115</x:v>
      </x:c>
      <x:c r="J147" s="9" t="n">
        <x:v>77</x:v>
      </x:c>
      <x:c r="K147" s="9" t="n">
        <x:v>960</x:v>
      </x:c>
      <x:c r="L147" s="9" t="n">
        <x:f>M147*30</x:f>
        <x:v>36.75</x:v>
      </x:c>
      <x:c r="M147" s="10" t="n">
        <x:f>IF(K147=0,0,H147/K147)</x:f>
        <x:v>1.225</x:v>
      </x:c>
      <x:c r="N147" s="11" t="n">
        <x:v>12</x:v>
      </x:c>
      <x:c r="O147" t="str">
        <x:f>IF(L147&lt;N147,"Critical",IF(L147&lt;=60,"At Risk",IF(L147&lt;=120,"Tight","Adequate")))</x:f>
        <x:v>At Risk</x:v>
      </x:c>
      <x:c r="P147" s="12" t="str">
        <x:f>IF(O147="Critical","Escalate supply review and confirm allocation",IF(O147="At Risk","Prioritize available inventory and expedite inbound supply",IF(O147="Tight","Monitor demand and expedite purchase orders","Maintain planned replenishment")))</x:f>
        <x:v>Prioritize available inventory and expedite inbound supply</x:v>
      </x:c>
    </x:row>
    <x:row r="148">
      <x:c r="A148" s="8" t="str">
        <x:v>2026-06-14</x:v>
      </x:c>
      <x:c r="B148" t="str">
        <x:v>Regional Warehouse C</x:v>
      </x:c>
      <x:c r="C148" t="str">
        <x:v>SVC-PAT-01</x:v>
      </x:c>
      <x:c r="D148" t="str">
        <x:v>Product Mu</x:v>
      </x:c>
      <x:c r="E148" t="str">
        <x:v>Not Applicable</x:v>
      </x:c>
      <x:c r="F148" s="9" t="n">
        <x:v>258</x:v>
      </x:c>
      <x:c r="G148" s="9" t="n">
        <x:v>72</x:v>
      </x:c>
      <x:c r="H148" s="9" t="n">
        <x:f>F148-G148</x:f>
        <x:v>186</x:v>
      </x:c>
      <x:c r="I148" s="9" t="n">
        <x:v>32</x:v>
      </x:c>
      <x:c r="J148" s="9" t="n">
        <x:v>22</x:v>
      </x:c>
      <x:c r="K148" s="9" t="n">
        <x:v>136</x:v>
      </x:c>
      <x:c r="L148" s="9" t="n">
        <x:f>M148*30</x:f>
        <x:v>41.029411764705884</x:v>
      </x:c>
      <x:c r="M148" s="10" t="n">
        <x:f>IF(K148=0,0,H148/K148)</x:f>
        <x:v>1.3676470588235294</x:v>
      </x:c>
      <x:c r="N148" s="11" t="n">
        <x:v>14</x:v>
      </x:c>
      <x:c r="O148" t="str">
        <x:f>IF(L148&lt;N148,"Critical",IF(L148&lt;=60,"At Risk",IF(L148&lt;=120,"Tight","Adequate")))</x:f>
        <x:v>At Risk</x:v>
      </x:c>
      <x:c r="P148" s="12" t="str">
        <x:f>IF(O148="Critical","Escalate supply review and confirm allocation",IF(O148="At Risk","Prioritize available inventory and expedite inbound supply",IF(O148="Tight","Monitor demand and expedite purchase orders","Maintain planned replenishment")))</x:f>
        <x:v>Prioritize available inventory and expedite inbound supply</x:v>
      </x:c>
    </x:row>
    <x:row r="149">
      <x:c r="A149" s="8" t="str">
        <x:v>2026-06-14</x:v>
      </x:c>
      <x:c r="B149" t="str">
        <x:v>Central Warehouse C</x:v>
      </x:c>
      <x:c r="C149" t="str">
        <x:v>RX-ONC-100</x:v>
      </x:c>
      <x:c r="D149" t="str">
        <x:v>Product Alpha</x:v>
      </x:c>
      <x:c r="E149" t="str">
        <x:v>Refrigerated (2-8 C)</x:v>
      </x:c>
      <x:c r="F149" s="9" t="n">
        <x:v>1077</x:v>
      </x:c>
      <x:c r="G149" s="9" t="n">
        <x:v>0</x:v>
      </x:c>
      <x:c r="H149" s="9" t="n">
        <x:f>F149-G149</x:f>
        <x:v>1077</x:v>
      </x:c>
      <x:c r="I149" s="9" t="n">
        <x:v>167</x:v>
      </x:c>
      <x:c r="J149" s="9" t="n">
        <x:v>111</x:v>
      </x:c>
      <x:c r="K149" s="9" t="n">
        <x:v>695</x:v>
      </x:c>
      <x:c r="L149" s="9" t="n">
        <x:f>M149*30</x:f>
        <x:v>46.489208633093526</x:v>
      </x:c>
      <x:c r="M149" s="10" t="n">
        <x:f>IF(K149=0,0,H149/K149)</x:f>
        <x:v>1.5496402877697841</x:v>
      </x:c>
      <x:c r="N149" s="11" t="n">
        <x:v>21</x:v>
      </x:c>
      <x:c r="O149" t="str">
        <x:f>IF(L149&lt;N149,"Critical",IF(L149&lt;=60,"At Risk",IF(L149&lt;=120,"Tight","Adequate")))</x:f>
        <x:v>At Risk</x:v>
      </x:c>
      <x:c r="P149" s="12" t="str">
        <x:f>IF(O149="Critical","Escalate supply review and confirm allocation",IF(O149="At Risk","Prioritize available inventory and expedite inbound supply",IF(O149="Tight","Monitor demand and expedite purchase orders","Maintain planned replenishment")))</x:f>
        <x:v>Prioritize available inventory and expedite inbound supply</x:v>
      </x:c>
    </x:row>
    <x:row r="150">
      <x:c r="A150" s="8" t="str">
        <x:v>2026-06-14</x:v>
      </x:c>
      <x:c r="B150" t="str">
        <x:v>Central Warehouse C</x:v>
      </x:c>
      <x:c r="C150" t="str">
        <x:v>RX-ONC-500</x:v>
      </x:c>
      <x:c r="D150" t="str">
        <x:v>Product Beta</x:v>
      </x:c>
      <x:c r="E150" t="str">
        <x:v>Refrigerated (2-8 C)</x:v>
      </x:c>
      <x:c r="F150" s="9" t="n">
        <x:v>1577</x:v>
      </x:c>
      <x:c r="G150" s="9" t="n">
        <x:v>110</x:v>
      </x:c>
      <x:c r="H150" s="9" t="n">
        <x:f>F150-G150</x:f>
        <x:v>1467</x:v>
      </x:c>
      <x:c r="I150" s="9" t="n">
        <x:v>299</x:v>
      </x:c>
      <x:c r="J150" s="9" t="n">
        <x:v>199</x:v>
      </x:c>
      <x:c r="K150" s="9" t="n">
        <x:v>830</x:v>
      </x:c>
      <x:c r="L150" s="9" t="n">
        <x:f>M150*30</x:f>
        <x:v>53.02409638554217</x:v>
      </x:c>
      <x:c r="M150" s="10" t="n">
        <x:f>IF(K150=0,0,H150/K150)</x:f>
        <x:v>1.7674698795180723</x:v>
      </x:c>
      <x:c r="N150" s="11" t="n">
        <x:v>28</x:v>
      </x:c>
      <x:c r="O150" t="str">
        <x:f>IF(L150&lt;N150,"Critical",IF(L150&lt;=60,"At Risk",IF(L150&lt;=120,"Tight","Adequate")))</x:f>
        <x:v>At Risk</x:v>
      </x:c>
      <x:c r="P150" s="12" t="str">
        <x:f>IF(O150="Critical","Escalate supply review and confirm allocation",IF(O150="At Risk","Prioritize available inventory and expedite inbound supply",IF(O150="Tight","Monitor demand and expedite purchase orders","Maintain planned replenishment")))</x:f>
        <x:v>Prioritize available inventory and expedite inbound supply</x:v>
      </x:c>
    </x:row>
    <x:row r="151">
      <x:c r="A151" s="8" t="str">
        <x:v>2026-06-14</x:v>
      </x:c>
      <x:c r="B151" t="str">
        <x:v>Central Warehouse C</x:v>
      </x:c>
      <x:c r="C151" t="str">
        <x:v>BIO-RA-200</x:v>
      </x:c>
      <x:c r="D151" t="str">
        <x:v>Product Gamma</x:v>
      </x:c>
      <x:c r="E151" t="str">
        <x:v>Refrigerated (2-8 C)</x:v>
      </x:c>
      <x:c r="F151" s="9" t="n">
        <x:v>2171</x:v>
      </x:c>
      <x:c r="G151" s="9" t="n">
        <x:v>304</x:v>
      </x:c>
      <x:c r="H151" s="9" t="n">
        <x:f>F151-G151</x:f>
        <x:v>1867</x:v>
      </x:c>
      <x:c r="I151" s="9" t="n">
        <x:v>463</x:v>
      </x:c>
      <x:c r="J151" s="9" t="n">
        <x:v>309</x:v>
      </x:c>
      <x:c r="K151" s="9" t="n">
        <x:v>965</x:v>
      </x:c>
      <x:c r="L151" s="9" t="n">
        <x:f>M151*30</x:f>
        <x:v>58.04145077720207</x:v>
      </x:c>
      <x:c r="M151" s="10" t="n">
        <x:f>IF(K151=0,0,H151/K151)</x:f>
        <x:v>1.9347150259067358</x:v>
      </x:c>
      <x:c r="N151" s="11" t="n">
        <x:v>18</x:v>
      </x:c>
      <x:c r="O151" t="str">
        <x:f>IF(L151&lt;N151,"Critical",IF(L151&lt;=60,"At Risk",IF(L151&lt;=120,"Tight","Adequate")))</x:f>
        <x:v>At Risk</x:v>
      </x:c>
      <x:c r="P151" s="12" t="str">
        <x:f>IF(O151="Critical","Escalate supply review and confirm allocation",IF(O151="At Risk","Prioritize available inventory and expedite inbound supply",IF(O151="Tight","Monitor demand and expedite purchase orders","Maintain planned replenishment")))</x:f>
        <x:v>Prioritize available inventory and expedite inbound supply</x:v>
      </x:c>
    </x:row>
    <x:row r="152">
      <x:c r="A152" s="8" t="str">
        <x:v>2026-06-14</x:v>
      </x:c>
      <x:c r="B152" t="str">
        <x:v>Central Warehouse C</x:v>
      </x:c>
      <x:c r="C152" t="str">
        <x:v>RX-CARD-50</x:v>
      </x:c>
      <x:c r="D152" t="str">
        <x:v>Product Delta</x:v>
      </x:c>
      <x:c r="E152" t="str">
        <x:v>Ambient</x:v>
      </x:c>
      <x:c r="F152" s="9" t="n">
        <x:v>390</x:v>
      </x:c>
      <x:c r="G152" s="9" t="n">
        <x:v>82</x:v>
      </x:c>
      <x:c r="H152" s="9" t="n">
        <x:f>F152-G152</x:f>
        <x:v>308</x:v>
      </x:c>
      <x:c r="I152" s="9" t="n">
        <x:v>0</x:v>
      </x:c>
      <x:c r="J152" s="9" t="n">
        <x:v>0</x:v>
      </x:c>
      <x:c r="K152" s="9" t="n">
        <x:v>150</x:v>
      </x:c>
      <x:c r="L152" s="9" t="n">
        <x:f>M152*30</x:f>
        <x:v>61.599999999999994</x:v>
      </x:c>
      <x:c r="M152" s="10" t="n">
        <x:f>IF(K152=0,0,H152/K152)</x:f>
        <x:v>2.0533333333333332</x:v>
      </x:c>
      <x:c r="N152" s="11" t="n">
        <x:v>7</x:v>
      </x:c>
      <x:c r="O152" t="str">
        <x:f>IF(L152&lt;N152,"Critical",IF(L152&lt;=60,"At Risk",IF(L152&lt;=120,"Tight","Adequate")))</x:f>
        <x:v>Tight</x:v>
      </x:c>
      <x:c r="P152" s="12" t="str">
        <x:f>IF(O152="Critical","Escalate supply review and confirm allocation",IF(O152="At Risk","Prioritize available inventory and expedite inbound supply",IF(O152="Tight","Monitor demand and expedite purchase orders","Maintain planned replenishment")))</x:f>
        <x:v>Monitor demand and expedite purchase orders</x:v>
      </x:c>
    </x:row>
    <x:row r="153">
      <x:c r="A153" s="8" t="str">
        <x:v>2026-06-14</x:v>
      </x:c>
      <x:c r="B153" t="str">
        <x:v>Central Warehouse C</x:v>
      </x:c>
      <x:c r="C153" t="str">
        <x:v>RX-RARE-10</x:v>
      </x:c>
      <x:c r="D153" t="str">
        <x:v>Product Epsilon</x:v>
      </x:c>
      <x:c r="E153" t="str">
        <x:v>Refrigerated (2-8 C)</x:v>
      </x:c>
      <x:c r="F153" s="9" t="n">
        <x:v>841</x:v>
      </x:c>
      <x:c r="G153" s="9" t="n">
        <x:v>235</x:v>
      </x:c>
      <x:c r="H153" s="9" t="n">
        <x:f>F153-G153</x:f>
        <x:v>606</x:v>
      </x:c>
      <x:c r="I153" s="9" t="n">
        <x:v>34</x:v>
      </x:c>
      <x:c r="J153" s="9" t="n">
        <x:v>23</x:v>
      </x:c>
      <x:c r="K153" s="9" t="n">
        <x:v>285</x:v>
      </x:c>
      <x:c r="L153" s="9" t="n">
        <x:f>M153*30</x:f>
        <x:v>63.78947368421053</x:v>
      </x:c>
      <x:c r="M153" s="10" t="n">
        <x:f>IF(K153=0,0,H153/K153)</x:f>
        <x:v>2.126315789473684</x:v>
      </x:c>
      <x:c r="N153" s="11" t="n">
        <x:v>45</x:v>
      </x:c>
      <x:c r="O153" t="str">
        <x:f>IF(L153&lt;N153,"Critical",IF(L153&lt;=60,"At Risk",IF(L153&lt;=120,"Tight","Adequate")))</x:f>
        <x:v>Tight</x:v>
      </x:c>
      <x:c r="P153" s="12" t="str">
        <x:f>IF(O153="Critical","Escalate supply review and confirm allocation",IF(O153="At Risk","Prioritize available inventory and expedite inbound supply",IF(O153="Tight","Monitor demand and expedite purchase orders","Maintain planned replenishment")))</x:f>
        <x:v>Monitor demand and expedite purchase orders</x:v>
      </x:c>
    </x:row>
    <x:row r="154">
      <x:c r="A154" s="8" t="str">
        <x:v>2026-06-14</x:v>
      </x:c>
      <x:c r="B154" t="str">
        <x:v>Central Warehouse C</x:v>
      </x:c>
      <x:c r="C154" t="str">
        <x:v>DX-COMP-01</x:v>
      </x:c>
      <x:c r="D154" t="str">
        <x:v>Product Zeta</x:v>
      </x:c>
      <x:c r="E154" t="str">
        <x:v>Ambient</x:v>
      </x:c>
      <x:c r="F154" s="9" t="n">
        <x:v>1386</x:v>
      </x:c>
      <x:c r="G154" s="9" t="n">
        <x:v>485</x:v>
      </x:c>
      <x:c r="H154" s="9" t="n">
        <x:f>F154-G154</x:f>
        <x:v>901</x:v>
      </x:c>
      <x:c r="I154" s="9" t="n">
        <x:v>101</x:v>
      </x:c>
      <x:c r="J154" s="9" t="n">
        <x:v>67</x:v>
      </x:c>
      <x:c r="K154" s="9" t="n">
        <x:v>420</x:v>
      </x:c>
      <x:c r="L154" s="9" t="n">
        <x:f>M154*30</x:f>
        <x:v>64.35714285714286</x:v>
      </x:c>
      <x:c r="M154" s="10" t="n">
        <x:f>IF(K154=0,0,H154/K154)</x:f>
        <x:v>2.145238095238095</x:v>
      </x:c>
      <x:c r="N154" s="11" t="n">
        <x:v>10</x:v>
      </x:c>
      <x:c r="O154" t="str">
        <x:f>IF(L154&lt;N154,"Critical",IF(L154&lt;=60,"At Risk",IF(L154&lt;=120,"Tight","Adequate")))</x:f>
        <x:v>Tight</x:v>
      </x:c>
      <x:c r="P154" s="12" t="str">
        <x:f>IF(O154="Critical","Escalate supply review and confirm allocation",IF(O154="At Risk","Prioritize available inventory and expedite inbound supply",IF(O154="Tight","Monitor demand and expedite purchase orders","Maintain planned replenishment")))</x:f>
        <x:v>Monitor demand and expedite purchase orders</x:v>
      </x:c>
    </x:row>
    <x:row r="155">
      <x:c r="A155" s="8" t="str">
        <x:v>2026-06-14</x:v>
      </x:c>
      <x:c r="B155" t="str">
        <x:v>Central Warehouse C</x:v>
      </x:c>
      <x:c r="C155" t="str">
        <x:v>RX-HOSP-20</x:v>
      </x:c>
      <x:c r="D155" t="str">
        <x:v>Product Eta</x:v>
      </x:c>
      <x:c r="E155" t="str">
        <x:v>Ambient</x:v>
      </x:c>
      <x:c r="F155" s="9" t="n">
        <x:v>278</x:v>
      </x:c>
      <x:c r="G155" s="9" t="n">
        <x:v>0</x:v>
      </x:c>
      <x:c r="H155" s="9" t="n">
        <x:f>F155-G155</x:f>
        <x:v>278</x:v>
      </x:c>
      <x:c r="I155" s="9" t="n">
        <x:v>200</x:v>
      </x:c>
      <x:c r="J155" s="9" t="n">
        <x:v>133</x:v>
      </x:c>
      <x:c r="K155" s="9" t="n">
        <x:v>555</x:v>
      </x:c>
      <x:c r="L155" s="9" t="n">
        <x:f>M155*30</x:f>
        <x:v>15.027027027027026</x:v>
      </x:c>
      <x:c r="M155" s="10" t="n">
        <x:f>IF(K155=0,0,H155/K155)</x:f>
        <x:v>0.5009009009009009</x:v>
      </x:c>
      <x:c r="N155" s="11" t="n">
        <x:v>14</x:v>
      </x:c>
      <x:c r="O155" t="str">
        <x:f>IF(L155&lt;N155,"Critical",IF(L155&lt;=60,"At Risk",IF(L155&lt;=120,"Tight","Adequate")))</x:f>
        <x:v>At Risk</x:v>
      </x:c>
      <x:c r="P155" s="12" t="str">
        <x:f>IF(O155="Critical","Escalate supply review and confirm allocation",IF(O155="At Risk","Prioritize available inventory and expedite inbound supply",IF(O155="Tight","Monitor demand and expedite purchase orders","Maintain planned replenishment")))</x:f>
        <x:v>Prioritize available inventory and expedite inbound supply</x:v>
      </x:c>
    </x:row>
    <x:row r="156">
      <x:c r="A156" s="8" t="str">
        <x:v>2026-06-14</x:v>
      </x:c>
      <x:c r="B156" t="str">
        <x:v>Central Warehouse C</x:v>
      </x:c>
      <x:c r="C156" t="str">
        <x:v>BIO-DERM-80</x:v>
      </x:c>
      <x:c r="D156" t="str">
        <x:v>Product Theta</x:v>
      </x:c>
      <x:c r="E156" t="str">
        <x:v>Refrigerated (2-8 C)</x:v>
      </x:c>
      <x:c r="F156" s="9" t="n">
        <x:v>587</x:v>
      </x:c>
      <x:c r="G156" s="9" t="n">
        <x:v>41</x:v>
      </x:c>
      <x:c r="H156" s="9" t="n">
        <x:f>F156-G156</x:f>
        <x:v>546</x:v>
      </x:c>
      <x:c r="I156" s="9" t="n">
        <x:v>331</x:v>
      </x:c>
      <x:c r="J156" s="9" t="n">
        <x:v>221</x:v>
      </x:c>
      <x:c r="K156" s="9" t="n">
        <x:v>690</x:v>
      </x:c>
      <x:c r="L156" s="9" t="n">
        <x:f>M156*30</x:f>
        <x:v>23.73913043478261</x:v>
      </x:c>
      <x:c r="M156" s="10" t="n">
        <x:f>IF(K156=0,0,H156/K156)</x:f>
        <x:v>0.7913043478260869</x:v>
      </x:c>
      <x:c r="N156" s="11" t="n">
        <x:v>16</x:v>
      </x:c>
      <x:c r="O156" t="str">
        <x:f>IF(L156&lt;N156,"Critical",IF(L156&lt;=60,"At Risk",IF(L156&lt;=120,"Tight","Adequate")))</x:f>
        <x:v>At Risk</x:v>
      </x:c>
      <x:c r="P156" s="12" t="str">
        <x:f>IF(O156="Critical","Escalate supply review and confirm allocation",IF(O156="At Risk","Prioritize available inventory and expedite inbound supply",IF(O156="Tight","Monitor demand and expedite purchase orders","Maintain planned replenishment")))</x:f>
        <x:v>Prioritize available inventory and expedite inbound supply</x:v>
      </x:c>
    </x:row>
    <x:row r="157">
      <x:c r="A157" s="8" t="str">
        <x:v>2026-06-14</x:v>
      </x:c>
      <x:c r="B157" t="str">
        <x:v>Central Warehouse C</x:v>
      </x:c>
      <x:c r="C157" t="str">
        <x:v>RX-ONC-ORAL</x:v>
      </x:c>
      <x:c r="D157" t="str">
        <x:v>Product Iota</x:v>
      </x:c>
      <x:c r="E157" t="str">
        <x:v>Ambient</x:v>
      </x:c>
      <x:c r="F157" s="9" t="n">
        <x:v>990</x:v>
      </x:c>
      <x:c r="G157" s="9" t="n">
        <x:v>139</x:v>
      </x:c>
      <x:c r="H157" s="9" t="n">
        <x:f>F157-G157</x:f>
        <x:v>851</x:v>
      </x:c>
      <x:c r="I157" s="9" t="n">
        <x:v>0</x:v>
      </x:c>
      <x:c r="J157" s="9" t="n">
        <x:v>0</x:v>
      </x:c>
      <x:c r="K157" s="9" t="n">
        <x:v>825</x:v>
      </x:c>
      <x:c r="L157" s="9" t="n">
        <x:f>M157*30</x:f>
        <x:v>30.945454545454545</x:v>
      </x:c>
      <x:c r="M157" s="10" t="n">
        <x:f>IF(K157=0,0,H157/K157)</x:f>
        <x:v>1.0315151515151515</x:v>
      </x:c>
      <x:c r="N157" s="11" t="n">
        <x:v>12</x:v>
      </x:c>
      <x:c r="O157" t="str">
        <x:f>IF(L157&lt;N157,"Critical",IF(L157&lt;=60,"At Risk",IF(L157&lt;=120,"Tight","Adequate")))</x:f>
        <x:v>At Risk</x:v>
      </x:c>
      <x:c r="P157" s="12" t="str">
        <x:f>IF(O157="Critical","Escalate supply review and confirm allocation",IF(O157="At Risk","Prioritize available inventory and expedite inbound supply",IF(O157="Tight","Monitor demand and expedite purchase orders","Maintain planned replenishment")))</x:f>
        <x:v>Prioritize available inventory and expedite inbound supply</x:v>
      </x:c>
    </x:row>
    <x:row r="158">
      <x:c r="A158" s="8" t="str">
        <x:v>2026-06-14</x:v>
      </x:c>
      <x:c r="B158" t="str">
        <x:v>Central Warehouse C</x:v>
      </x:c>
      <x:c r="C158" t="str">
        <x:v>RX-RARE-INF</x:v>
      </x:c>
      <x:c r="D158" t="str">
        <x:v>Product Kappa</x:v>
      </x:c>
      <x:c r="E158" t="str">
        <x:v>Refrigerated (2-8 C)</x:v>
      </x:c>
      <x:c r="F158" s="9" t="n">
        <x:v>1488</x:v>
      </x:c>
      <x:c r="G158" s="9" t="n">
        <x:v>312</x:v>
      </x:c>
      <x:c r="H158" s="9" t="n">
        <x:f>F158-G158</x:f>
        <x:v>1176</x:v>
      </x:c>
      <x:c r="I158" s="9" t="n">
        <x:v>115</x:v>
      </x:c>
      <x:c r="J158" s="9" t="n">
        <x:v>77</x:v>
      </x:c>
      <x:c r="K158" s="9" t="n">
        <x:v>960</x:v>
      </x:c>
      <x:c r="L158" s="9" t="n">
        <x:f>M158*30</x:f>
        <x:v>36.75</x:v>
      </x:c>
      <x:c r="M158" s="10" t="n">
        <x:f>IF(K158=0,0,H158/K158)</x:f>
        <x:v>1.225</x:v>
      </x:c>
      <x:c r="N158" s="11" t="n">
        <x:v>60</x:v>
      </x:c>
      <x:c r="O158" t="str">
        <x:f>IF(L158&lt;N158,"Critical",IF(L158&lt;=60,"At Risk",IF(L158&lt;=120,"Tight","Adequate")))</x:f>
        <x:v>Critical</x:v>
      </x:c>
      <x:c r="P158" s="12" t="str">
        <x:f>IF(O158="Critical","Escalate supply review and confirm allocation",IF(O158="At Risk","Prioritize available inventory and expedite inbound supply",IF(O158="Tight","Monitor demand and expedite purchase orders","Maintain planned replenishment")))</x:f>
        <x:v>Escalate supply review and confirm allocation</x:v>
      </x:c>
    </x:row>
    <x:row r="159">
      <x:c r="A159" s="8" t="str">
        <x:v>2026-06-14</x:v>
      </x:c>
      <x:c r="B159" t="str">
        <x:v>Central Warehouse C</x:v>
      </x:c>
      <x:c r="C159" t="str">
        <x:v>DX-GENE-02</x:v>
      </x:c>
      <x:c r="D159" t="str">
        <x:v>Product Lambda</x:v>
      </x:c>
      <x:c r="E159" t="str">
        <x:v>Ambient</x:v>
      </x:c>
      <x:c r="F159" s="9" t="n">
        <x:v>276</x:v>
      </x:c>
      <x:c r="G159" s="9" t="n">
        <x:v>77</x:v>
      </x:c>
      <x:c r="H159" s="9" t="n">
        <x:f>F159-G159</x:f>
        <x:v>199</x:v>
      </x:c>
      <x:c r="I159" s="9" t="n">
        <x:v>35</x:v>
      </x:c>
      <x:c r="J159" s="9" t="n">
        <x:v>23</x:v>
      </x:c>
      <x:c r="K159" s="9" t="n">
        <x:v>145</x:v>
      </x:c>
      <x:c r="L159" s="9" t="n">
        <x:f>M159*30</x:f>
        <x:v>41.17241379310345</x:v>
      </x:c>
      <x:c r="M159" s="10" t="n">
        <x:f>IF(K159=0,0,H159/K159)</x:f>
        <x:v>1.3724137931034484</x:v>
      </x:c>
      <x:c r="N159" s="11" t="n">
        <x:v>12</x:v>
      </x:c>
      <x:c r="O159" t="str">
        <x:f>IF(L159&lt;N159,"Critical",IF(L159&lt;=60,"At Risk",IF(L159&lt;=120,"Tight","Adequate")))</x:f>
        <x:v>At Risk</x:v>
      </x:c>
      <x:c r="P159" s="12" t="str">
        <x:f>IF(O159="Critical","Escalate supply review and confirm allocation",IF(O159="At Risk","Prioritize available inventory and expedite inbound supply",IF(O159="Tight","Monitor demand and expedite purchase orders","Maintain planned replenishment")))</x:f>
        <x:v>Prioritize available inventory and expedite inbound supply</x:v>
      </x:c>
    </x:row>
    <x:row r="160">
      <x:c r="A160" s="8" t="str">
        <x:v>2026-06-14</x:v>
      </x:c>
      <x:c r="B160" t="str">
        <x:v>Central Warehouse C</x:v>
      </x:c>
      <x:c r="C160" t="str">
        <x:v>SVC-PAT-01</x:v>
      </x:c>
      <x:c r="D160" t="str">
        <x:v>Product Mu</x:v>
      </x:c>
      <x:c r="E160" t="str">
        <x:v>Not Applicable</x:v>
      </x:c>
      <x:c r="F160" s="9" t="n">
        <x:v>630</x:v>
      </x:c>
      <x:c r="G160" s="9" t="n">
        <x:v>221</x:v>
      </x:c>
      <x:c r="H160" s="9" t="n">
        <x:f>F160-G160</x:f>
        <x:v>409</x:v>
      </x:c>
      <x:c r="I160" s="9" t="n">
        <x:v>101</x:v>
      </x:c>
      <x:c r="J160" s="9" t="n">
        <x:v>67</x:v>
      </x:c>
      <x:c r="K160" s="9" t="n">
        <x:v>280</x:v>
      </x:c>
      <x:c r="L160" s="9" t="n">
        <x:f>M160*30</x:f>
        <x:v>43.82142857142857</x:v>
      </x:c>
      <x:c r="M160" s="10" t="n">
        <x:f>IF(K160=0,0,H160/K160)</x:f>
        <x:v>1.4607142857142856</x:v>
      </x:c>
      <x:c r="N160" s="11" t="n">
        <x:v>14</x:v>
      </x:c>
      <x:c r="O160" t="str">
        <x:f>IF(L160&lt;N160,"Critical",IF(L160&lt;=60,"At Risk",IF(L160&lt;=120,"Tight","Adequate")))</x:f>
        <x:v>At Risk</x:v>
      </x:c>
      <x:c r="P160" s="12" t="str">
        <x:f>IF(O160="Critical","Escalate supply review and confirm allocation",IF(O160="At Risk","Prioritize available inventory and expedite inbound supply",IF(O160="Tight","Monitor demand and expedite purchase orders","Maintain planned replenishment")))</x:f>
        <x:v>Prioritize available inventory and expedite inbound supply</x:v>
      </x:c>
    </x:row>
    <x:row r="161">
      <x:c r="A161" s="8" t="str">
        <x:v>2026-06-14</x:v>
      </x:c>
      <x:c r="B161" t="str">
        <x:v>Distribution Warehouse C</x:v>
      </x:c>
      <x:c r="C161" t="str">
        <x:v>RX-ONC-100</x:v>
      </x:c>
      <x:c r="D161" t="str">
        <x:v>Product Alpha</x:v>
      </x:c>
      <x:c r="E161" t="str">
        <x:v>Refrigerated (2-8 C)</x:v>
      </x:c>
      <x:c r="F161" s="9" t="n">
        <x:v>1406</x:v>
      </x:c>
      <x:c r="G161" s="9" t="n">
        <x:v>98</x:v>
      </x:c>
      <x:c r="H161" s="9" t="n">
        <x:f>F161-G161</x:f>
        <x:v>1308</x:v>
      </x:c>
      <x:c r="I161" s="9" t="n">
        <x:v>266</x:v>
      </x:c>
      <x:c r="J161" s="9" t="n">
        <x:v>178</x:v>
      </x:c>
      <x:c r="K161" s="9" t="n">
        <x:v>740</x:v>
      </x:c>
      <x:c r="L161" s="9" t="n">
        <x:f>M161*30</x:f>
        <x:v>53.027027027027025</x:v>
      </x:c>
      <x:c r="M161" s="10" t="n">
        <x:f>IF(K161=0,0,H161/K161)</x:f>
        <x:v>1.7675675675675675</x:v>
      </x:c>
      <x:c r="N161" s="11" t="n">
        <x:v>21</x:v>
      </x:c>
      <x:c r="O161" t="str">
        <x:f>IF(L161&lt;N161,"Critical",IF(L161&lt;=60,"At Risk",IF(L161&lt;=120,"Tight","Adequate")))</x:f>
        <x:v>At Risk</x:v>
      </x:c>
      <x:c r="P161" s="12" t="str">
        <x:f>IF(O161="Critical","Escalate supply review and confirm allocation",IF(O161="At Risk","Prioritize available inventory and expedite inbound supply",IF(O161="Tight","Monitor demand and expedite purchase orders","Maintain planned replenishment")))</x:f>
        <x:v>Prioritize available inventory and expedite inbound supply</x:v>
      </x:c>
    </x:row>
    <x:row r="162">
      <x:c r="A162" s="8" t="str">
        <x:v>2026-06-14</x:v>
      </x:c>
      <x:c r="B162" t="str">
        <x:v>Distribution Warehouse C</x:v>
      </x:c>
      <x:c r="C162" t="str">
        <x:v>RX-ONC-500</x:v>
      </x:c>
      <x:c r="D162" t="str">
        <x:v>Product Beta</x:v>
      </x:c>
      <x:c r="E162" t="str">
        <x:v>Refrigerated (2-8 C)</x:v>
      </x:c>
      <x:c r="F162" s="9" t="n">
        <x:v>1989</x:v>
      </x:c>
      <x:c r="G162" s="9" t="n">
        <x:v>278</x:v>
      </x:c>
      <x:c r="H162" s="9" t="n">
        <x:f>F162-G162</x:f>
        <x:v>1711</x:v>
      </x:c>
      <x:c r="I162" s="9" t="n">
        <x:v>424</x:v>
      </x:c>
      <x:c r="J162" s="9" t="n">
        <x:v>283</x:v>
      </x:c>
      <x:c r="K162" s="9" t="n">
        <x:v>884</x:v>
      </x:c>
      <x:c r="L162" s="9" t="n">
        <x:f>M162*30</x:f>
        <x:v>58.06561085972851</x:v>
      </x:c>
      <x:c r="M162" s="10" t="n">
        <x:f>IF(K162=0,0,H162/K162)</x:f>
        <x:v>1.9355203619909502</x:v>
      </x:c>
      <x:c r="N162" s="11" t="n">
        <x:v>28</x:v>
      </x:c>
      <x:c r="O162" t="str">
        <x:f>IF(L162&lt;N162,"Critical",IF(L162&lt;=60,"At Risk",IF(L162&lt;=120,"Tight","Adequate")))</x:f>
        <x:v>At Risk</x:v>
      </x:c>
      <x:c r="P162" s="12" t="str">
        <x:f>IF(O162="Critical","Escalate supply review and confirm allocation",IF(O162="At Risk","Prioritize available inventory and expedite inbound supply",IF(O162="Tight","Monitor demand and expedite purchase orders","Maintain planned replenishment")))</x:f>
        <x:v>Prioritize available inventory and expedite inbound supply</x:v>
      </x:c>
    </x:row>
    <x:row r="163">
      <x:c r="A163" s="8" t="str">
        <x:v>2026-06-14</x:v>
      </x:c>
      <x:c r="B163" t="str">
        <x:v>Distribution Warehouse C</x:v>
      </x:c>
      <x:c r="C163" t="str">
        <x:v>BIO-RA-200</x:v>
      </x:c>
      <x:c r="D163" t="str">
        <x:v>Product Gamma</x:v>
      </x:c>
      <x:c r="E163" t="str">
        <x:v>Refrigerated (2-8 C)</x:v>
      </x:c>
      <x:c r="F163" s="9" t="n">
        <x:v>203</x:v>
      </x:c>
      <x:c r="G163" s="9" t="n">
        <x:v>43</x:v>
      </x:c>
      <x:c r="H163" s="9" t="n">
        <x:f>F163-G163</x:f>
        <x:v>160</x:v>
      </x:c>
      <x:c r="I163" s="9" t="n">
        <x:v>0</x:v>
      </x:c>
      <x:c r="J163" s="9" t="n">
        <x:v>0</x:v>
      </x:c>
      <x:c r="K163" s="9" t="n">
        <x:v>78</x:v>
      </x:c>
      <x:c r="L163" s="9" t="n">
        <x:f>M163*30</x:f>
        <x:v>61.53846153846153</x:v>
      </x:c>
      <x:c r="M163" s="10" t="n">
        <x:f>IF(K163=0,0,H163/K163)</x:f>
        <x:v>2.051282051282051</x:v>
      </x:c>
      <x:c r="N163" s="11" t="n">
        <x:v>18</x:v>
      </x:c>
      <x:c r="O163" t="str">
        <x:f>IF(L163&lt;N163,"Critical",IF(L163&lt;=60,"At Risk",IF(L163&lt;=120,"Tight","Adequate")))</x:f>
        <x:v>Tight</x:v>
      </x:c>
      <x:c r="P163" s="12" t="str">
        <x:f>IF(O163="Critical","Escalate supply review and confirm allocation",IF(O163="At Risk","Prioritize available inventory and expedite inbound supply",IF(O163="Tight","Monitor demand and expedite purchase orders","Maintain planned replenishment")))</x:f>
        <x:v>Monitor demand and expedite purchase orders</x:v>
      </x:c>
    </x:row>
    <x:row r="164">
      <x:c r="A164" s="8" t="str">
        <x:v>2026-06-14</x:v>
      </x:c>
      <x:c r="B164" t="str">
        <x:v>Distribution Warehouse C</x:v>
      </x:c>
      <x:c r="C164" t="str">
        <x:v>RX-CARD-50</x:v>
      </x:c>
      <x:c r="D164" t="str">
        <x:v>Product Delta</x:v>
      </x:c>
      <x:c r="E164" t="str">
        <x:v>Ambient</x:v>
      </x:c>
      <x:c r="F164" s="9" t="n">
        <x:v>655</x:v>
      </x:c>
      <x:c r="G164" s="9" t="n">
        <x:v>183</x:v>
      </x:c>
      <x:c r="H164" s="9" t="n">
        <x:f>F164-G164</x:f>
        <x:v>472</x:v>
      </x:c>
      <x:c r="I164" s="9" t="n">
        <x:v>26</x:v>
      </x:c>
      <x:c r="J164" s="9" t="n">
        <x:v>18</x:v>
      </x:c>
      <x:c r="K164" s="9" t="n">
        <x:v>222</x:v>
      </x:c>
      <x:c r="L164" s="9" t="n">
        <x:f>M164*30</x:f>
        <x:v>63.78378378378378</x:v>
      </x:c>
      <x:c r="M164" s="10" t="n">
        <x:f>IF(K164=0,0,H164/K164)</x:f>
        <x:v>2.126126126126126</x:v>
      </x:c>
      <x:c r="N164" s="11" t="n">
        <x:v>7</x:v>
      </x:c>
      <x:c r="O164" t="str">
        <x:f>IF(L164&lt;N164,"Critical",IF(L164&lt;=60,"At Risk",IF(L164&lt;=120,"Tight","Adequate")))</x:f>
        <x:v>Tight</x:v>
      </x:c>
      <x:c r="P164" s="12" t="str">
        <x:f>IF(O164="Critical","Escalate supply review and confirm allocation",IF(O164="At Risk","Prioritize available inventory and expedite inbound supply",IF(O164="Tight","Monitor demand and expedite purchase orders","Maintain planned replenishment")))</x:f>
        <x:v>Monitor demand and expedite purchase orders</x:v>
      </x:c>
    </x:row>
    <x:row r="165">
      <x:c r="A165" s="8" t="str">
        <x:v>2026-06-14</x:v>
      </x:c>
      <x:c r="B165" t="str">
        <x:v>Distribution Warehouse C</x:v>
      </x:c>
      <x:c r="C165" t="str">
        <x:v>RX-RARE-10</x:v>
      </x:c>
      <x:c r="D165" t="str">
        <x:v>Product Epsilon</x:v>
      </x:c>
      <x:c r="E165" t="str">
        <x:v>Refrigerated (2-8 C)</x:v>
      </x:c>
      <x:c r="F165" s="9" t="n">
        <x:v>1208</x:v>
      </x:c>
      <x:c r="G165" s="9" t="n">
        <x:v>423</x:v>
      </x:c>
      <x:c r="H165" s="9" t="n">
        <x:f>F165-G165</x:f>
        <x:v>785</x:v>
      </x:c>
      <x:c r="I165" s="9" t="n">
        <x:v>88</x:v>
      </x:c>
      <x:c r="J165" s="9" t="n">
        <x:v>58</x:v>
      </x:c>
      <x:c r="K165" s="9" t="n">
        <x:v>366</x:v>
      </x:c>
      <x:c r="L165" s="9" t="n">
        <x:f>M165*30</x:f>
        <x:v>64.34426229508196</x:v>
      </x:c>
      <x:c r="M165" s="10" t="n">
        <x:f>IF(K165=0,0,H165/K165)</x:f>
        <x:v>2.1448087431693987</x:v>
      </x:c>
      <x:c r="N165" s="11" t="n">
        <x:v>45</x:v>
      </x:c>
      <x:c r="O165" t="str">
        <x:f>IF(L165&lt;N165,"Critical",IF(L165&lt;=60,"At Risk",IF(L165&lt;=120,"Tight","Adequate")))</x:f>
        <x:v>Tight</x:v>
      </x:c>
      <x:c r="P165" s="12" t="str">
        <x:f>IF(O165="Critical","Escalate supply review and confirm allocation",IF(O165="At Risk","Prioritize available inventory and expedite inbound supply",IF(O165="Tight","Monitor demand and expedite purchase orders","Maintain planned replenishment")))</x:f>
        <x:v>Monitor demand and expedite purchase orders</x:v>
      </x:c>
    </x:row>
    <x:row r="166">
      <x:c r="A166" s="8" t="str">
        <x:v>2026-06-14</x:v>
      </x:c>
      <x:c r="B166" t="str">
        <x:v>Distribution Warehouse C</x:v>
      </x:c>
      <x:c r="C166" t="str">
        <x:v>DX-COMP-01</x:v>
      </x:c>
      <x:c r="D166" t="str">
        <x:v>Product Zeta</x:v>
      </x:c>
      <x:c r="E166" t="str">
        <x:v>Ambient</x:v>
      </x:c>
      <x:c r="F166" s="9" t="n">
        <x:v>255</x:v>
      </x:c>
      <x:c r="G166" s="9" t="n">
        <x:v>0</x:v>
      </x:c>
      <x:c r="H166" s="9" t="n">
        <x:f>F166-G166</x:f>
        <x:v>255</x:v>
      </x:c>
      <x:c r="I166" s="9" t="n">
        <x:v>184</x:v>
      </x:c>
      <x:c r="J166" s="9" t="n">
        <x:v>122</x:v>
      </x:c>
      <x:c r="K166" s="9" t="n">
        <x:v>510</x:v>
      </x:c>
      <x:c r="L166" s="9" t="n">
        <x:f>M166*30</x:f>
        <x:v>15</x:v>
      </x:c>
      <x:c r="M166" s="10" t="n">
        <x:f>IF(K166=0,0,H166/K166)</x:f>
        <x:v>0.5</x:v>
      </x:c>
      <x:c r="N166" s="11" t="n">
        <x:v>10</x:v>
      </x:c>
      <x:c r="O166" t="str">
        <x:f>IF(L166&lt;N166,"Critical",IF(L166&lt;=60,"At Risk",IF(L166&lt;=120,"Tight","Adequate")))</x:f>
        <x:v>At Risk</x:v>
      </x:c>
      <x:c r="P166" s="12" t="str">
        <x:f>IF(O166="Critical","Escalate supply review and confirm allocation",IF(O166="At Risk","Prioritize available inventory and expedite inbound supply",IF(O166="Tight","Monitor demand and expedite purchase orders","Maintain planned replenishment")))</x:f>
        <x:v>Prioritize available inventory and expedite inbound supply</x:v>
      </x:c>
    </x:row>
    <x:row r="167">
      <x:c r="A167" s="8" t="str">
        <x:v>2026-06-14</x:v>
      </x:c>
      <x:c r="B167" t="str">
        <x:v>Distribution Warehouse C</x:v>
      </x:c>
      <x:c r="C167" t="str">
        <x:v>RX-HOSP-20</x:v>
      </x:c>
      <x:c r="D167" t="str">
        <x:v>Product Eta</x:v>
      </x:c>
      <x:c r="E167" t="str">
        <x:v>Ambient</x:v>
      </x:c>
      <x:c r="F167" s="9" t="n">
        <x:v>556</x:v>
      </x:c>
      <x:c r="G167" s="9" t="n">
        <x:v>39</x:v>
      </x:c>
      <x:c r="H167" s="9" t="n">
        <x:f>F167-G167</x:f>
        <x:v>517</x:v>
      </x:c>
      <x:c r="I167" s="9" t="n">
        <x:v>314</x:v>
      </x:c>
      <x:c r="J167" s="9" t="n">
        <x:v>209</x:v>
      </x:c>
      <x:c r="K167" s="9" t="n">
        <x:v>654</x:v>
      </x:c>
      <x:c r="L167" s="9" t="n">
        <x:f>M167*30</x:f>
        <x:v>23.71559633027523</x:v>
      </x:c>
      <x:c r="M167" s="10" t="n">
        <x:f>IF(K167=0,0,H167/K167)</x:f>
        <x:v>0.790519877675841</x:v>
      </x:c>
      <x:c r="N167" s="11" t="n">
        <x:v>14</x:v>
      </x:c>
      <x:c r="O167" t="str">
        <x:f>IF(L167&lt;N167,"Critical",IF(L167&lt;=60,"At Risk",IF(L167&lt;=120,"Tight","Adequate")))</x:f>
        <x:v>At Risk</x:v>
      </x:c>
      <x:c r="P167" s="12" t="str">
        <x:f>IF(O167="Critical","Escalate supply review and confirm allocation",IF(O167="At Risk","Prioritize available inventory and expedite inbound supply",IF(O167="Tight","Monitor demand and expedite purchase orders","Maintain planned replenishment")))</x:f>
        <x:v>Prioritize available inventory and expedite inbound supply</x:v>
      </x:c>
    </x:row>
    <x:row r="168">
      <x:c r="A168" s="8" t="str">
        <x:v>2026-06-14</x:v>
      </x:c>
      <x:c r="B168" t="str">
        <x:v>Distribution Warehouse C</x:v>
      </x:c>
      <x:c r="C168" t="str">
        <x:v>BIO-DERM-80</x:v>
      </x:c>
      <x:c r="D168" t="str">
        <x:v>Product Theta</x:v>
      </x:c>
      <x:c r="E168" t="str">
        <x:v>Refrigerated (2-8 C)</x:v>
      </x:c>
      <x:c r="F168" s="9" t="n">
        <x:v>958</x:v>
      </x:c>
      <x:c r="G168" s="9" t="n">
        <x:v>134</x:v>
      </x:c>
      <x:c r="H168" s="9" t="n">
        <x:f>F168-G168</x:f>
        <x:v>824</x:v>
      </x:c>
      <x:c r="I168" s="9" t="n">
        <x:v>0</x:v>
      </x:c>
      <x:c r="J168" s="9" t="n">
        <x:v>0</x:v>
      </x:c>
      <x:c r="K168" s="9" t="n">
        <x:v>798</x:v>
      </x:c>
      <x:c r="L168" s="9" t="n">
        <x:f>M168*30</x:f>
        <x:v>30.977443609022554</x:v>
      </x:c>
      <x:c r="M168" s="10" t="n">
        <x:f>IF(K168=0,0,H168/K168)</x:f>
        <x:v>1.0325814536340852</x:v>
      </x:c>
      <x:c r="N168" s="11" t="n">
        <x:v>16</x:v>
      </x:c>
      <x:c r="O168" t="str">
        <x:f>IF(L168&lt;N168,"Critical",IF(L168&lt;=60,"At Risk",IF(L168&lt;=120,"Tight","Adequate")))</x:f>
        <x:v>At Risk</x:v>
      </x:c>
      <x:c r="P168" s="12" t="str">
        <x:f>IF(O168="Critical","Escalate supply review and confirm allocation",IF(O168="At Risk","Prioritize available inventory and expedite inbound supply",IF(O168="Tight","Monitor demand and expedite purchase orders","Maintain planned replenishment")))</x:f>
        <x:v>Prioritize available inventory and expedite inbound supply</x:v>
      </x:c>
    </x:row>
    <x:row r="169">
      <x:c r="A169" s="8" t="str">
        <x:v>2026-06-14</x:v>
      </x:c>
      <x:c r="B169" t="str">
        <x:v>Distribution Warehouse C</x:v>
      </x:c>
      <x:c r="C169" t="str">
        <x:v>RX-ONC-ORAL</x:v>
      </x:c>
      <x:c r="D169" t="str">
        <x:v>Product Iota</x:v>
      </x:c>
      <x:c r="E169" t="str">
        <x:v>Ambient</x:v>
      </x:c>
      <x:c r="F169" s="9" t="n">
        <x:v>1460</x:v>
      </x:c>
      <x:c r="G169" s="9" t="n">
        <x:v>307</x:v>
      </x:c>
      <x:c r="H169" s="9" t="n">
        <x:f>F169-G169</x:f>
        <x:v>1153</x:v>
      </x:c>
      <x:c r="I169" s="9" t="n">
        <x:v>113</x:v>
      </x:c>
      <x:c r="J169" s="9" t="n">
        <x:v>75</x:v>
      </x:c>
      <x:c r="K169" s="9" t="n">
        <x:v>942</x:v>
      </x:c>
      <x:c r="L169" s="9" t="n">
        <x:f>M169*30</x:f>
        <x:v>36.71974522292994</x:v>
      </x:c>
      <x:c r="M169" s="10" t="n">
        <x:f>IF(K169=0,0,H169/K169)</x:f>
        <x:v>1.223991507430998</x:v>
      </x:c>
      <x:c r="N169" s="11" t="n">
        <x:v>12</x:v>
      </x:c>
      <x:c r="O169" t="str">
        <x:f>IF(L169&lt;N169,"Critical",IF(L169&lt;=60,"At Risk",IF(L169&lt;=120,"Tight","Adequate")))</x:f>
        <x:v>At Risk</x:v>
      </x:c>
      <x:c r="P169" s="12" t="str">
        <x:f>IF(O169="Critical","Escalate supply review and confirm allocation",IF(O169="At Risk","Prioritize available inventory and expedite inbound supply",IF(O169="Tight","Monitor demand and expedite purchase orders","Maintain planned replenishment")))</x:f>
        <x:v>Prioritize available inventory and expedite inbound supply</x:v>
      </x:c>
    </x:row>
    <x:row r="170">
      <x:c r="A170" s="8" t="str">
        <x:v>2026-06-14</x:v>
      </x:c>
      <x:c r="B170" t="str">
        <x:v>Distribution Warehouse C</x:v>
      </x:c>
      <x:c r="C170" t="str">
        <x:v>RX-RARE-INF</x:v>
      </x:c>
      <x:c r="D170" t="str">
        <x:v>Product Kappa</x:v>
      </x:c>
      <x:c r="E170" t="str">
        <x:v>Refrigerated (2-8 C)</x:v>
      </x:c>
      <x:c r="F170" s="9" t="n">
        <x:v>258</x:v>
      </x:c>
      <x:c r="G170" s="9" t="n">
        <x:v>72</x:v>
      </x:c>
      <x:c r="H170" s="9" t="n">
        <x:f>F170-G170</x:f>
        <x:v>186</x:v>
      </x:c>
      <x:c r="I170" s="9" t="n">
        <x:v>32</x:v>
      </x:c>
      <x:c r="J170" s="9" t="n">
        <x:v>22</x:v>
      </x:c>
      <x:c r="K170" s="9" t="n">
        <x:v>136</x:v>
      </x:c>
      <x:c r="L170" s="9" t="n">
        <x:f>M170*30</x:f>
        <x:v>41.029411764705884</x:v>
      </x:c>
      <x:c r="M170" s="10" t="n">
        <x:f>IF(K170=0,0,H170/K170)</x:f>
        <x:v>1.3676470588235294</x:v>
      </x:c>
      <x:c r="N170" s="11" t="n">
        <x:v>60</x:v>
      </x:c>
      <x:c r="O170" t="str">
        <x:f>IF(L170&lt;N170,"Critical",IF(L170&lt;=60,"At Risk",IF(L170&lt;=120,"Tight","Adequate")))</x:f>
        <x:v>Critical</x:v>
      </x:c>
      <x:c r="P170" s="12" t="str">
        <x:f>IF(O170="Critical","Escalate supply review and confirm allocation",IF(O170="At Risk","Prioritize available inventory and expedite inbound supply",IF(O170="Tight","Monitor demand and expedite purchase orders","Maintain planned replenishment")))</x:f>
        <x:v>Escalate supply review and confirm allocation</x:v>
      </x:c>
    </x:row>
    <x:row r="171">
      <x:c r="A171" s="8" t="str">
        <x:v>2026-06-14</x:v>
      </x:c>
      <x:c r="B171" t="str">
        <x:v>Distribution Warehouse C</x:v>
      </x:c>
      <x:c r="C171" t="str">
        <x:v>DX-GENE-02</x:v>
      </x:c>
      <x:c r="D171" t="str">
        <x:v>Product Lambda</x:v>
      </x:c>
      <x:c r="E171" t="str">
        <x:v>Ambient</x:v>
      </x:c>
      <x:c r="F171" s="9" t="n">
        <x:v>630</x:v>
      </x:c>
      <x:c r="G171" s="9" t="n">
        <x:v>221</x:v>
      </x:c>
      <x:c r="H171" s="9" t="n">
        <x:f>F171-G171</x:f>
        <x:v>409</x:v>
      </x:c>
      <x:c r="I171" s="9" t="n">
        <x:v>101</x:v>
      </x:c>
      <x:c r="J171" s="9" t="n">
        <x:v>67</x:v>
      </x:c>
      <x:c r="K171" s="9" t="n">
        <x:v>280</x:v>
      </x:c>
      <x:c r="L171" s="9" t="n">
        <x:f>M171*30</x:f>
        <x:v>43.82142857142857</x:v>
      </x:c>
      <x:c r="M171" s="10" t="n">
        <x:f>IF(K171=0,0,H171/K171)</x:f>
        <x:v>1.4607142857142856</x:v>
      </x:c>
      <x:c r="N171" s="11" t="n">
        <x:v>12</x:v>
      </x:c>
      <x:c r="O171" t="str">
        <x:f>IF(L171&lt;N171,"Critical",IF(L171&lt;=60,"At Risk",IF(L171&lt;=120,"Tight","Adequate")))</x:f>
        <x:v>At Risk</x:v>
      </x:c>
      <x:c r="P171" s="12" t="str">
        <x:f>IF(O171="Critical","Escalate supply review and confirm allocation",IF(O171="At Risk","Prioritize available inventory and expedite inbound supply",IF(O171="Tight","Monitor demand and expedite purchase orders","Maintain planned replenishment")))</x:f>
        <x:v>Prioritize available inventory and expedite inbound supply</x:v>
      </x:c>
    </x:row>
    <x:row r="172">
      <x:c r="A172" s="8" t="str">
        <x:v>2026-06-14</x:v>
      </x:c>
      <x:c r="B172" t="str">
        <x:v>Distribution Warehouse C</x:v>
      </x:c>
      <x:c r="C172" t="str">
        <x:v>SVC-PAT-01</x:v>
      </x:c>
      <x:c r="D172" t="str">
        <x:v>Product Mu</x:v>
      </x:c>
      <x:c r="E172" t="str">
        <x:v>Not Applicable</x:v>
      </x:c>
      <x:c r="F172" s="9" t="n">
        <x:v>1102</x:v>
      </x:c>
      <x:c r="G172" s="9" t="n">
        <x:v>0</x:v>
      </x:c>
      <x:c r="H172" s="9" t="n">
        <x:f>F172-G172</x:f>
        <x:v>1102</x:v>
      </x:c>
      <x:c r="I172" s="9" t="n">
        <x:v>203</x:v>
      </x:c>
      <x:c r="J172" s="9" t="n">
        <x:v>136</x:v>
      </x:c>
      <x:c r="K172" s="9" t="n">
        <x:v>424</x:v>
      </x:c>
      <x:c r="L172" s="9" t="n">
        <x:f>M172*30</x:f>
        <x:v>77.97169811320755</x:v>
      </x:c>
      <x:c r="M172" s="10" t="n">
        <x:f>IF(K172=0,0,H172/K172)</x:f>
        <x:v>2.599056603773585</x:v>
      </x:c>
      <x:c r="N172" s="11" t="n">
        <x:v>14</x:v>
      </x:c>
      <x:c r="O172" t="str">
        <x:f>IF(L172&lt;N172,"Critical",IF(L172&lt;=60,"At Risk",IF(L172&lt;=120,"Tight","Adequate")))</x:f>
        <x:v>Tight</x:v>
      </x:c>
      <x:c r="P172" s="12" t="str">
        <x:f>IF(O172="Critical","Escalate supply review and confirm allocation",IF(O172="At Risk","Prioritize available inventory and expedite inbound supply",IF(O172="Tight","Monitor demand and expedite purchase orders","Maintain planned replenishment")))</x:f>
        <x:v>Monitor demand and expedite purchase orders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c70ca95ab2614073"/>
  </x:tableParts>
</x:worksheet>
</file>