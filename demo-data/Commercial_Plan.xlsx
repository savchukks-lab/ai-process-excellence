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b9f3f8c0d544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mmercial Plan" sheetId="1" r:id="R4e58167f94ca4b6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#,##0"/>
    <x:numFmt numFmtId="202" formatCode="#,##0.00"/>
    <x:numFmt numFmtId="203" formatCode="0.0%"/>
  </x:numFmts>
  <x:fonts count="3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557A"/>
      </x:patternFill>
    </x:fill>
    <x:fill>
      <x:patternFill patternType="solid">
        <x:fgColor rgb="FFEEF3F7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538316ed4a46fc" /><Relationship Type="http://schemas.openxmlformats.org/officeDocument/2006/relationships/theme" Target="/xl/theme/theme1.xml" Id="R0454833cf3684482" /><Relationship Type="http://schemas.openxmlformats.org/officeDocument/2006/relationships/sharedStrings" Target="/xl/sharedStrings.xml" Id="Reda78f8842c14ed9" /><Relationship Type="http://schemas.openxmlformats.org/officeDocument/2006/relationships/worksheet" Target="/xl/worksheets/sheet1.xml" Id="R4e58167f94ca4b6e" /></Relationships>
</file>

<file path=xl/tables/table1.xml><?xml version="1.0" encoding="utf-8"?>
<x:table xmlns:x="http://schemas.openxmlformats.org/spreadsheetml/2006/main" id="1" name="CommercialPlan" displayName="CommercialPlan" ref="A4:N148" headerRowCount="1">
  <x:tableColumns count="14">
    <x:tableColumn id="1" name="Budget Cycle"/>
    <x:tableColumn id="2" name="Period"/>
    <x:tableColumn id="3" name="Region"/>
    <x:tableColumn id="4" name="Channel"/>
    <x:tableColumn id="5" name="SKU"/>
    <x:tableColumn id="6" name="Product Name"/>
    <x:tableColumn id="7" name="Planned Volume"/>
    <x:tableColumn id="8" name="Planned Gross Price"/>
    <x:tableColumn id="9" name="Planned Net Price"/>
    <x:tableColumn id="10" name="Planned Revenue"/>
    <x:tableColumn id="11" name="Standard Cost"/>
    <x:tableColumn id="12" name="Planned Gross Profit"/>
    <x:tableColumn id="13" name="Planned Gross Margin %"/>
    <x:tableColumn id="14" name="Version 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e26a9a1b62a4c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3" hidden="0" customWidth="1"/>
    <x:col min="3" max="3" width="12" hidden="0" customWidth="1"/>
    <x:col min="4" max="4" width="24" hidden="0" customWidth="1"/>
    <x:col min="5" max="5" width="16" hidden="0" customWidth="1"/>
    <x:col min="6" max="6" width="22" hidden="0" customWidth="1"/>
    <x:col min="7" max="7" width="15" hidden="0" customWidth="1"/>
    <x:col min="8" max="8" width="19" hidden="0" customWidth="1"/>
    <x:col min="9" max="9" width="18" hidden="0" customWidth="1"/>
    <x:col min="10" max="10" width="18" hidden="0" customWidth="1"/>
    <x:col min="11" max="11" width="15" hidden="0" customWidth="1"/>
    <x:col min="12" max="12" width="20" hidden="0" customWidth="1"/>
    <x:col min="13" max="13" width="21" hidden="0" customWidth="1"/>
    <x:col min="14" max="14" width="16" hidden="0" customWidth="1"/>
  </x:cols>
  <x:sheetData>
    <x:row r="1" ht="28" customHeight="1">
      <x:c r="A1" s="4" t="str">
        <x:v>Commercial Plan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4" customHeight="1">
      <x:c r="A2" s="7" t="str">
        <x:v>Version-controlled budget and forecast assumptions by period, region, channel, and product.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>
      <x:c r="A4" t="str">
        <x:v>Budget Cycle</x:v>
      </x:c>
      <x:c r="B4" t="str">
        <x:v>Period</x:v>
      </x:c>
      <x:c r="C4" t="str">
        <x:v>Region</x:v>
      </x:c>
      <x:c r="D4" t="str">
        <x:v>Channel</x:v>
      </x:c>
      <x:c r="E4" t="str">
        <x:v>SKU</x:v>
      </x:c>
      <x:c r="F4" t="str">
        <x:v>Product Name</x:v>
      </x:c>
      <x:c r="G4" t="str">
        <x:v>Planned Volume</x:v>
      </x:c>
      <x:c r="H4" t="str">
        <x:v>Planned Gross Price</x:v>
      </x:c>
      <x:c r="I4" t="str">
        <x:v>Planned Net Price</x:v>
      </x:c>
      <x:c r="J4" t="str">
        <x:v>Planned Revenue</x:v>
      </x:c>
      <x:c r="K4" t="str">
        <x:v>Standard Cost</x:v>
      </x:c>
      <x:c r="L4" t="str">
        <x:v>Planned Gross Profit</x:v>
      </x:c>
      <x:c r="M4" t="str">
        <x:v>Planned Gross Margin %</x:v>
      </x:c>
      <x:c r="N4" t="str">
        <x:v>Version Status</x:v>
      </x:c>
    </x:row>
    <x:row r="5">
      <x:c r="A5" t="str">
        <x:v>FY26 Budget</x:v>
      </x:c>
      <x:c r="B5" s="8" t="str">
        <x:v>2026-01-01</x:v>
      </x:c>
      <x:c r="C5" t="str">
        <x:v>Region B</x:v>
      </x:c>
      <x:c r="D5" t="str">
        <x:v>Buying Group</x:v>
      </x:c>
      <x:c r="E5" t="str">
        <x:v>RX-ONC-100</x:v>
      </x:c>
      <x:c r="F5" t="str">
        <x:v>Product Alpha</x:v>
      </x:c>
      <x:c r="G5" s="9" t="n">
        <x:v>96</x:v>
      </x:c>
      <x:c r="H5" s="10" t="n">
        <x:v>1776</x:v>
      </x:c>
      <x:c r="I5" s="10" t="n">
        <x:v>1642.56</x:v>
      </x:c>
      <x:c r="J5" s="10" t="n">
        <x:f>G5*I5</x:f>
        <x:v>157685.76</x:v>
      </x:c>
      <x:c r="K5" s="10" t="n">
        <x:v>555</x:v>
      </x:c>
      <x:c r="L5" s="10" t="n">
        <x:f>J5-(G5*K5)</x:f>
        <x:v>104405.76000000001</x:v>
      </x:c>
      <x:c r="M5" s="11" t="n">
        <x:f>IF(J5=0,0,L5/J5)</x:f>
        <x:v>0.6621127995324372</x:v>
      </x:c>
      <x:c r="N5" t="str">
        <x:v>Archived</x:v>
      </x:c>
    </x:row>
    <x:row r="6">
      <x:c r="A6" t="str">
        <x:v>FY26 Budget</x:v>
      </x:c>
      <x:c r="B6" s="8" t="str">
        <x:v>2026-01-01</x:v>
      </x:c>
      <x:c r="C6" t="str">
        <x:v>Region C</x:v>
      </x:c>
      <x:c r="D6" t="str">
        <x:v>Distributor</x:v>
      </x:c>
      <x:c r="E6" t="str">
        <x:v>RX-ONC-500</x:v>
      </x:c>
      <x:c r="F6" t="str">
        <x:v>Product Beta</x:v>
      </x:c>
      <x:c r="G6" s="9" t="n">
        <x:v>124</x:v>
      </x:c>
      <x:c r="H6" s="10" t="n">
        <x:v>6840</x:v>
      </x:c>
      <x:c r="I6" s="10" t="n">
        <x:v>6224.400000000001</x:v>
      </x:c>
      <x:c r="J6" s="10" t="n">
        <x:f>G6*I6</x:f>
        <x:v>771825.6000000001</x:v>
      </x:c>
      <x:c r="K6" s="10" t="n">
        <x:v>2160</x:v>
      </x:c>
      <x:c r="L6" s="10" t="n">
        <x:f>J6-(G6*K6)</x:f>
        <x:v>503985.6000000001</x:v>
      </x:c>
      <x:c r="M6" s="11" t="n">
        <x:f>IF(J6=0,0,L6/J6)</x:f>
        <x:v>0.6529786003470215</x:v>
      </x:c>
      <x:c r="N6" t="str">
        <x:v>Archived</x:v>
      </x:c>
    </x:row>
    <x:row r="7">
      <x:c r="A7" t="str">
        <x:v>FY26 Budget</x:v>
      </x:c>
      <x:c r="B7" s="8" t="str">
        <x:v>2026-01-01</x:v>
      </x:c>
      <x:c r="C7" t="str">
        <x:v>Region C</x:v>
      </x:c>
      <x:c r="D7" t="str">
        <x:v>Hospital / Institution</x:v>
      </x:c>
      <x:c r="E7" t="str">
        <x:v>BIO-RA-200</x:v>
      </x:c>
      <x:c r="F7" t="str">
        <x:v>Product Gamma</x:v>
      </x:c>
      <x:c r="G7" s="9" t="n">
        <x:v>152</x:v>
      </x:c>
      <x:c r="H7" s="10" t="n">
        <x:v>1121</x:v>
      </x:c>
      <x:c r="I7" s="10" t="n">
        <x:v>1003.2</x:v>
      </x:c>
      <x:c r="J7" s="10" t="n">
        <x:f>G7*I7</x:f>
        <x:v>152486.4</x:v>
      </x:c>
      <x:c r="K7" s="10" t="n">
        <x:v>413</x:v>
      </x:c>
      <x:c r="L7" s="10" t="n">
        <x:f>J7-(G7*K7)</x:f>
        <x:v>89710.4</x:v>
      </x:c>
      <x:c r="M7" s="11" t="n">
        <x:f>IF(J7=0,0,L7/J7)</x:f>
        <x:v>0.5883173843700159</x:v>
      </x:c>
      <x:c r="N7" t="str">
        <x:v>Archived</x:v>
      </x:c>
    </x:row>
    <x:row r="8">
      <x:c r="A8" t="str">
        <x:v>FY26 Budget</x:v>
      </x:c>
      <x:c r="B8" s="8" t="str">
        <x:v>2026-01-01</x:v>
      </x:c>
      <x:c r="C8" t="str">
        <x:v>Region A</x:v>
      </x:c>
      <x:c r="D8" t="str">
        <x:v>Direct Corporate Account</x:v>
      </x:c>
      <x:c r="E8" t="str">
        <x:v>RX-CARD-50</x:v>
      </x:c>
      <x:c r="F8" t="str">
        <x:v>Product Delta</x:v>
      </x:c>
      <x:c r="G8" s="9" t="n">
        <x:v>180</x:v>
      </x:c>
      <x:c r="H8" s="10" t="n">
        <x:v>394.8</x:v>
      </x:c>
      <x:c r="I8" s="10" t="n">
        <x:v>347.8</x:v>
      </x:c>
      <x:c r="J8" s="10" t="n">
        <x:f>G8*I8</x:f>
        <x:v>62604</x:v>
      </x:c>
      <x:c r="K8" s="10" t="n">
        <x:v>147</x:v>
      </x:c>
      <x:c r="L8" s="10" t="n">
        <x:f>J8-(G8*K8)</x:f>
        <x:v>36144</x:v>
      </x:c>
      <x:c r="M8" s="11" t="n">
        <x:f>IF(J8=0,0,L8/J8)</x:f>
        <x:v>0.577343300747556</x:v>
      </x:c>
      <x:c r="N8" t="str">
        <x:v>Archived</x:v>
      </x:c>
    </x:row>
    <x:row r="9">
      <x:c r="A9" t="str">
        <x:v>FY26 Budget</x:v>
      </x:c>
      <x:c r="B9" s="8" t="str">
        <x:v>2026-01-01</x:v>
      </x:c>
      <x:c r="C9" t="str">
        <x:v>Region B</x:v>
      </x:c>
      <x:c r="D9" t="str">
        <x:v>Hospital / Institution</x:v>
      </x:c>
      <x:c r="E9" t="str">
        <x:v>RX-RARE-10</x:v>
      </x:c>
      <x:c r="F9" t="str">
        <x:v>Product Epsilon</x:v>
      </x:c>
      <x:c r="G9" s="9" t="n">
        <x:v>208</x:v>
      </x:c>
      <x:c r="H9" s="10" t="n">
        <x:v>27170</x:v>
      </x:c>
      <x:c r="I9" s="10" t="n">
        <x:v>23502.05</x:v>
      </x:c>
      <x:c r="J9" s="10" t="n">
        <x:f>G9*I9</x:f>
        <x:v>4888426.399999999</x:v>
      </x:c>
      <x:c r="K9" s="10" t="n">
        <x:v>7150</x:v>
      </x:c>
      <x:c r="L9" s="10" t="n">
        <x:f>J9-(G9*K9)</x:f>
        <x:v>3401226.3999999994</x:v>
      </x:c>
      <x:c r="M9" s="11" t="n">
        <x:f>IF(J9=0,0,L9/J9)</x:f>
        <x:v>0.695771219957408</x:v>
      </x:c>
      <x:c r="N9" t="str">
        <x:v>Archived</x:v>
      </x:c>
    </x:row>
    <x:row r="10">
      <x:c r="A10" t="str">
        <x:v>FY26 Budget</x:v>
      </x:c>
      <x:c r="B10" s="8" t="str">
        <x:v>2026-01-01</x:v>
      </x:c>
      <x:c r="C10" t="str">
        <x:v>Region C</x:v>
      </x:c>
      <x:c r="D10" t="str">
        <x:v>Hospital / Institution</x:v>
      </x:c>
      <x:c r="E10" t="str">
        <x:v>DX-COMP-01</x:v>
      </x:c>
      <x:c r="F10" t="str">
        <x:v>Product Zeta</x:v>
      </x:c>
      <x:c r="G10" s="9" t="n">
        <x:v>236</x:v>
      </x:c>
      <x:c r="H10" s="10" t="n">
        <x:v>902.5</x:v>
      </x:c>
      <x:c r="I10" s="10" t="n">
        <x:v>767.6</x:v>
      </x:c>
      <x:c r="J10" s="10" t="n">
        <x:f>G10*I10</x:f>
        <x:v>181153.6</x:v>
      </x:c>
      <x:c r="K10" s="10" t="n">
        <x:v>333</x:v>
      </x:c>
      <x:c r="L10" s="10" t="n">
        <x:f>J10-(G10*K10)</x:f>
        <x:v>102565.6</x:v>
      </x:c>
      <x:c r="M10" s="11" t="n">
        <x:f>IF(J10=0,0,L10/J10)</x:f>
        <x:v>0.5661803022407504</x:v>
      </x:c>
      <x:c r="N10" t="str">
        <x:v>Archived</x:v>
      </x:c>
    </x:row>
    <x:row r="11">
      <x:c r="A11" t="str">
        <x:v>FY26 Budget</x:v>
      </x:c>
      <x:c r="B11" s="8" t="str">
        <x:v>2026-01-01</x:v>
      </x:c>
      <x:c r="C11" t="str">
        <x:v>Region C</x:v>
      </x:c>
      <x:c r="D11" t="str">
        <x:v>Retail / Pharmacy Chain</x:v>
      </x:c>
      <x:c r="E11" t="str">
        <x:v>RX-HOSP-20</x:v>
      </x:c>
      <x:c r="F11" t="str">
        <x:v>Product Eta</x:v>
      </x:c>
      <x:c r="G11" s="9" t="n">
        <x:v>264</x:v>
      </x:c>
      <x:c r="H11" s="10" t="n">
        <x:v>1240.8</x:v>
      </x:c>
      <x:c r="I11" s="10" t="n">
        <x:v>1035.8799999999999</x:v>
      </x:c>
      <x:c r="J11" s="10" t="n">
        <x:f>G11*I11</x:f>
        <x:v>273472.31999999995</x:v>
      </x:c>
      <x:c r="K11" s="10" t="n">
        <x:v>462</x:v>
      </x:c>
      <x:c r="L11" s="10" t="n">
        <x:f>J11-(G11*K11)</x:f>
        <x:v>151504.31999999995</x:v>
      </x:c>
      <x:c r="M11" s="11" t="n">
        <x:f>IF(J11=0,0,L11/J11)</x:f>
        <x:v>0.5540023940997025</x:v>
      </x:c>
      <x:c r="N11" t="str">
        <x:v>Archived</x:v>
      </x:c>
    </x:row>
    <x:row r="12">
      <x:c r="A12" t="str">
        <x:v>FY26 Budget</x:v>
      </x:c>
      <x:c r="B12" s="8" t="str">
        <x:v>2026-01-01</x:v>
      </x:c>
      <x:c r="C12" t="str">
        <x:v>Region A</x:v>
      </x:c>
      <x:c r="D12" t="str">
        <x:v>Buying Group</x:v>
      </x:c>
      <x:c r="E12" t="str">
        <x:v>BIO-DERM-80</x:v>
      </x:c>
      <x:c r="F12" t="str">
        <x:v>Product Theta</x:v>
      </x:c>
      <x:c r="G12" s="9" t="n">
        <x:v>292</x:v>
      </x:c>
      <x:c r="H12" s="10" t="n">
        <x:v>931</x:v>
      </x:c>
      <x:c r="I12" s="10" t="n">
        <x:v>763.8</x:v>
      </x:c>
      <x:c r="J12" s="10" t="n">
        <x:f>G12*I12</x:f>
        <x:v>223029.59999999998</x:v>
      </x:c>
      <x:c r="K12" s="10" t="n">
        <x:v>343</x:v>
      </x:c>
      <x:c r="L12" s="10" t="n">
        <x:f>J12-(G12*K12)</x:f>
        <x:v>122873.59999999998</x:v>
      </x:c>
      <x:c r="M12" s="11" t="n">
        <x:f>IF(J12=0,0,L12/J12)</x:f>
        <x:v>0.550929562712752</x:v>
      </x:c>
      <x:c r="N12" t="str">
        <x:v>Archived</x:v>
      </x:c>
    </x:row>
    <x:row r="13">
      <x:c r="A13" t="str">
        <x:v>FY26 Budget</x:v>
      </x:c>
      <x:c r="B13" s="8" t="str">
        <x:v>2026-01-01</x:v>
      </x:c>
      <x:c r="C13" t="str">
        <x:v>Region B</x:v>
      </x:c>
      <x:c r="D13" t="str">
        <x:v>Buying Group</x:v>
      </x:c>
      <x:c r="E13" t="str">
        <x:v>RX-ONC-ORAL</x:v>
      </x:c>
      <x:c r="F13" t="str">
        <x:v>Product Iota</x:v>
      </x:c>
      <x:c r="G13" s="9" t="n">
        <x:v>320</x:v>
      </x:c>
      <x:c r="H13" s="10" t="n">
        <x:v>9024</x:v>
      </x:c>
      <x:c r="I13" s="10" t="n">
        <x:v>8482.56</x:v>
      </x:c>
      <x:c r="J13" s="10" t="n">
        <x:f>G13*I13</x:f>
        <x:v>2714419.1999999997</x:v>
      </x:c>
      <x:c r="K13" s="10" t="n">
        <x:v>2820</x:v>
      </x:c>
      <x:c r="L13" s="10" t="n">
        <x:f>J13-(G13*K13)</x:f>
        <x:v>1812019.1999999997</x:v>
      </x:c>
      <x:c r="M13" s="11" t="n">
        <x:f>IF(J13=0,0,L13/J13)</x:f>
        <x:v>0.6675531914893617</x:v>
      </x:c>
      <x:c r="N13" t="str">
        <x:v>Archived</x:v>
      </x:c>
    </x:row>
    <x:row r="14">
      <x:c r="A14" t="str">
        <x:v>FY26 Budget</x:v>
      </x:c>
      <x:c r="B14" s="8" t="str">
        <x:v>2026-01-01</x:v>
      </x:c>
      <x:c r="C14" t="str">
        <x:v>Region C</x:v>
      </x:c>
      <x:c r="D14" t="str">
        <x:v>Distributor</x:v>
      </x:c>
      <x:c r="E14" t="str">
        <x:v>RX-RARE-INF</x:v>
      </x:c>
      <x:c r="F14" t="str">
        <x:v>Product Kappa</x:v>
      </x:c>
      <x:c r="G14" s="9" t="n">
        <x:v>348</x:v>
      </x:c>
      <x:c r="H14" s="10" t="n">
        <x:v>33060</x:v>
      </x:c>
      <x:c r="I14" s="10" t="n">
        <x:v>30580.5</x:v>
      </x:c>
      <x:c r="J14" s="10" t="n">
        <x:f>G14*I14</x:f>
        <x:v>10642014</x:v>
      </x:c>
      <x:c r="K14" s="10" t="n">
        <x:v>8700</x:v>
      </x:c>
      <x:c r="L14" s="10" t="n">
        <x:f>J14-(G14*K14)</x:f>
        <x:v>7614414</x:v>
      </x:c>
      <x:c r="M14" s="11" t="n">
        <x:f>IF(J14=0,0,L14/J14)</x:f>
        <x:v>0.7155049786628734</x:v>
      </x:c>
      <x:c r="N14" t="str">
        <x:v>Archived</x:v>
      </x:c>
    </x:row>
    <x:row r="15">
      <x:c r="A15" t="str">
        <x:v>FY26 Budget</x:v>
      </x:c>
      <x:c r="B15" s="8" t="str">
        <x:v>2026-01-01</x:v>
      </x:c>
      <x:c r="C15" t="str">
        <x:v>Region C</x:v>
      </x:c>
      <x:c r="D15" t="str">
        <x:v>Hospital / Institution</x:v>
      </x:c>
      <x:c r="E15" t="str">
        <x:v>DX-GENE-02</x:v>
      </x:c>
      <x:c r="F15" t="str">
        <x:v>Product Lambda</x:v>
      </x:c>
      <x:c r="G15" s="9" t="n">
        <x:v>376</x:v>
      </x:c>
      <x:c r="H15" s="10" t="n">
        <x:v>1216</x:v>
      </x:c>
      <x:c r="I15" s="10" t="n">
        <x:v>1106.75</x:v>
      </x:c>
      <x:c r="J15" s="10" t="n">
        <x:f>G15*I15</x:f>
        <x:v>416138</x:v>
      </x:c>
      <x:c r="K15" s="10" t="n">
        <x:v>448</x:v>
      </x:c>
      <x:c r="L15" s="10" t="n">
        <x:f>J15-(G15*K15)</x:f>
        <x:v>247690</x:v>
      </x:c>
      <x:c r="M15" s="11" t="n">
        <x:f>IF(J15=0,0,L15/J15)</x:f>
        <x:v>0.5952112039756042</x:v>
      </x:c>
      <x:c r="N15" t="str">
        <x:v>Archived</x:v>
      </x:c>
    </x:row>
    <x:row r="16">
      <x:c r="A16" t="str">
        <x:v>FY26 Budget</x:v>
      </x:c>
      <x:c r="B16" s="8" t="str">
        <x:v>2026-01-01</x:v>
      </x:c>
      <x:c r="C16" t="str">
        <x:v>Region A</x:v>
      </x:c>
      <x:c r="D16" t="str">
        <x:v>Direct Corporate Account</x:v>
      </x:c>
      <x:c r="E16" t="str">
        <x:v>SVC-PAT-01</x:v>
      </x:c>
      <x:c r="F16" t="str">
        <x:v>Product Mu</x:v>
      </x:c>
      <x:c r="G16" s="9" t="n">
        <x:v>404</x:v>
      </x:c>
      <x:c r="H16" s="10" t="n">
        <x:v>42000</x:v>
      </x:c>
      <x:c r="I16" s="10" t="n">
        <x:v>37590</x:v>
      </x:c>
      <x:c r="J16" s="10" t="n">
        <x:f>G16*I16</x:f>
        <x:v>15186360</x:v>
      </x:c>
      <x:c r="K16" s="10" t="n">
        <x:v>16800</x:v>
      </x:c>
      <x:c r="L16" s="10" t="n">
        <x:f>J16-(G16*K16)</x:f>
        <x:v>8399160</x:v>
      </x:c>
      <x:c r="M16" s="11" t="n">
        <x:f>IF(J16=0,0,L16/J16)</x:f>
        <x:v>0.553072625698324</x:v>
      </x:c>
      <x:c r="N16" t="str">
        <x:v>Archived</x:v>
      </x:c>
    </x:row>
    <x:row r="17">
      <x:c r="A17" t="str">
        <x:v>FY26 Budget</x:v>
      </x:c>
      <x:c r="B17" s="8" t="str">
        <x:v>2026-02-01</x:v>
      </x:c>
      <x:c r="C17" t="str">
        <x:v>Region C</x:v>
      </x:c>
      <x:c r="D17" t="str">
        <x:v>Distributor</x:v>
      </x:c>
      <x:c r="E17" t="str">
        <x:v>RX-ONC-100</x:v>
      </x:c>
      <x:c r="F17" t="str">
        <x:v>Product Alpha</x:v>
      </x:c>
      <x:c r="G17" s="9" t="n">
        <x:v>110</x:v>
      </x:c>
      <x:c r="H17" s="10" t="n">
        <x:v>1776</x:v>
      </x:c>
      <x:c r="I17" s="10" t="n">
        <x:v>1616.64</x:v>
      </x:c>
      <x:c r="J17" s="10" t="n">
        <x:f>G17*I17</x:f>
        <x:v>177830.40000000002</x:v>
      </x:c>
      <x:c r="K17" s="10" t="n">
        <x:v>555</x:v>
      </x:c>
      <x:c r="L17" s="10" t="n">
        <x:f>J17-(G17*K17)</x:f>
        <x:v>116780.40000000002</x:v>
      </x:c>
      <x:c r="M17" s="11" t="n">
        <x:f>IF(J17=0,0,L17/J17)</x:f>
        <x:v>0.6566953681710215</x:v>
      </x:c>
      <x:c r="N17" t="str">
        <x:v>Archived</x:v>
      </x:c>
    </x:row>
    <x:row r="18">
      <x:c r="A18" t="str">
        <x:v>FY26 Budget</x:v>
      </x:c>
      <x:c r="B18" s="8" t="str">
        <x:v>2026-02-01</x:v>
      </x:c>
      <x:c r="C18" t="str">
        <x:v>Region C</x:v>
      </x:c>
      <x:c r="D18" t="str">
        <x:v>Hospital / Institution</x:v>
      </x:c>
      <x:c r="E18" t="str">
        <x:v>RX-ONC-500</x:v>
      </x:c>
      <x:c r="F18" t="str">
        <x:v>Product Beta</x:v>
      </x:c>
      <x:c r="G18" s="9" t="n">
        <x:v>145</x:v>
      </x:c>
      <x:c r="H18" s="10" t="n">
        <x:v>6840</x:v>
      </x:c>
      <x:c r="I18" s="10" t="n">
        <x:v>6121.8</x:v>
      </x:c>
      <x:c r="J18" s="10" t="n">
        <x:f>G18*I18</x:f>
        <x:v>887661</x:v>
      </x:c>
      <x:c r="K18" s="10" t="n">
        <x:v>2160</x:v>
      </x:c>
      <x:c r="L18" s="10" t="n">
        <x:f>J18-(G18*K18)</x:f>
        <x:v>574461</x:v>
      </x:c>
      <x:c r="M18" s="11" t="n">
        <x:f>IF(J18=0,0,L18/J18)</x:f>
        <x:v>0.647162599235519</x:v>
      </x:c>
      <x:c r="N18" t="str">
        <x:v>Archived</x:v>
      </x:c>
    </x:row>
    <x:row r="19">
      <x:c r="A19" t="str">
        <x:v>FY26 Budget</x:v>
      </x:c>
      <x:c r="B19" s="8" t="str">
        <x:v>2026-02-01</x:v>
      </x:c>
      <x:c r="C19" t="str">
        <x:v>Region A</x:v>
      </x:c>
      <x:c r="D19" t="str">
        <x:v>Direct Corporate Account</x:v>
      </x:c>
      <x:c r="E19" t="str">
        <x:v>BIO-RA-200</x:v>
      </x:c>
      <x:c r="F19" t="str">
        <x:v>Product Gamma</x:v>
      </x:c>
      <x:c r="G19" s="9" t="n">
        <x:v>180</x:v>
      </x:c>
      <x:c r="H19" s="10" t="n">
        <x:v>1121</x:v>
      </x:c>
      <x:c r="I19" s="10" t="n">
        <x:v>986.1</x:v>
      </x:c>
      <x:c r="J19" s="10" t="n">
        <x:f>G19*I19</x:f>
        <x:v>177498</x:v>
      </x:c>
      <x:c r="K19" s="10" t="n">
        <x:v>413</x:v>
      </x:c>
      <x:c r="L19" s="10" t="n">
        <x:f>J19-(G19*K19)</x:f>
        <x:v>103158</x:v>
      </x:c>
      <x:c r="M19" s="11" t="n">
        <x:f>IF(J19=0,0,L19/J19)</x:f>
        <x:v>0.5811783794746983</x:v>
      </x:c>
      <x:c r="N19" t="str">
        <x:v>Archived</x:v>
      </x:c>
    </x:row>
    <x:row r="20">
      <x:c r="A20" t="str">
        <x:v>FY26 Budget</x:v>
      </x:c>
      <x:c r="B20" s="8" t="str">
        <x:v>2026-02-01</x:v>
      </x:c>
      <x:c r="C20" t="str">
        <x:v>Region B</x:v>
      </x:c>
      <x:c r="D20" t="str">
        <x:v>Hospital / Institution</x:v>
      </x:c>
      <x:c r="E20" t="str">
        <x:v>RX-CARD-50</x:v>
      </x:c>
      <x:c r="F20" t="str">
        <x:v>Product Delta</x:v>
      </x:c>
      <x:c r="G20" s="9" t="n">
        <x:v>215</x:v>
      </x:c>
      <x:c r="H20" s="10" t="n">
        <x:v>394.8</x:v>
      </x:c>
      <x:c r="I20" s="10" t="n">
        <x:v>341.22</x:v>
      </x:c>
      <x:c r="J20" s="10" t="n">
        <x:f>G20*I20</x:f>
        <x:v>73362.3</x:v>
      </x:c>
      <x:c r="K20" s="10" t="n">
        <x:v>147</x:v>
      </x:c>
      <x:c r="L20" s="10" t="n">
        <x:f>J20-(G20*K20)</x:f>
        <x:v>41757.3</x:v>
      </x:c>
      <x:c r="M20" s="11" t="n">
        <x:f>IF(J20=0,0,L20/J20)</x:f>
        <x:v>0.5691928960787762</x:v>
      </x:c>
      <x:c r="N20" t="str">
        <x:v>Archived</x:v>
      </x:c>
    </x:row>
    <x:row r="21">
      <x:c r="A21" t="str">
        <x:v>FY26 Budget</x:v>
      </x:c>
      <x:c r="B21" s="8" t="str">
        <x:v>2026-02-01</x:v>
      </x:c>
      <x:c r="C21" t="str">
        <x:v>Region C</x:v>
      </x:c>
      <x:c r="D21" t="str">
        <x:v>Hospital / Institution</x:v>
      </x:c>
      <x:c r="E21" t="str">
        <x:v>RX-RARE-10</x:v>
      </x:c>
      <x:c r="F21" t="str">
        <x:v>Product Epsilon</x:v>
      </x:c>
      <x:c r="G21" s="9" t="n">
        <x:v>250</x:v>
      </x:c>
      <x:c r="H21" s="10" t="n">
        <x:v>27170</x:v>
      </x:c>
      <x:c r="I21" s="10" t="n">
        <x:v>23094.5</x:v>
      </x:c>
      <x:c r="J21" s="10" t="n">
        <x:f>G21*I21</x:f>
        <x:v>5773625</x:v>
      </x:c>
      <x:c r="K21" s="10" t="n">
        <x:v>7150</x:v>
      </x:c>
      <x:c r="L21" s="10" t="n">
        <x:f>J21-(G21*K21)</x:f>
        <x:v>3986125</x:v>
      </x:c>
      <x:c r="M21" s="11" t="n">
        <x:f>IF(J21=0,0,L21/J21)</x:f>
        <x:v>0.6904024767801857</x:v>
      </x:c>
      <x:c r="N21" t="str">
        <x:v>Archived</x:v>
      </x:c>
    </x:row>
    <x:row r="22">
      <x:c r="A22" t="str">
        <x:v>FY26 Budget</x:v>
      </x:c>
      <x:c r="B22" s="8" t="str">
        <x:v>2026-02-01</x:v>
      </x:c>
      <x:c r="C22" t="str">
        <x:v>Region C</x:v>
      </x:c>
      <x:c r="D22" t="str">
        <x:v>Retail / Pharmacy Chain</x:v>
      </x:c>
      <x:c r="E22" t="str">
        <x:v>DX-COMP-01</x:v>
      </x:c>
      <x:c r="F22" t="str">
        <x:v>Product Zeta</x:v>
      </x:c>
      <x:c r="G22" s="9" t="n">
        <x:v>285</x:v>
      </x:c>
      <x:c r="H22" s="10" t="n">
        <x:v>902.5</x:v>
      </x:c>
      <x:c r="I22" s="10" t="n">
        <x:v>753.3499999999999</x:v>
      </x:c>
      <x:c r="J22" s="10" t="n">
        <x:f>G22*I22</x:f>
        <x:v>214704.74999999997</x:v>
      </x:c>
      <x:c r="K22" s="10" t="n">
        <x:v>333</x:v>
      </x:c>
      <x:c r="L22" s="10" t="n">
        <x:f>J22-(G22*K22)</x:f>
        <x:v>119799.74999999997</x:v>
      </x:c>
      <x:c r="M22" s="11" t="n">
        <x:f>IF(J22=0,0,L22/J22)</x:f>
        <x:v>0.5579743810977633</x:v>
      </x:c>
      <x:c r="N22" t="str">
        <x:v>Archived</x:v>
      </x:c>
    </x:row>
    <x:row r="23">
      <x:c r="A23" t="str">
        <x:v>FY26 Budget</x:v>
      </x:c>
      <x:c r="B23" s="8" t="str">
        <x:v>2026-02-01</x:v>
      </x:c>
      <x:c r="C23" t="str">
        <x:v>Region A</x:v>
      </x:c>
      <x:c r="D23" t="str">
        <x:v>Buying Group</x:v>
      </x:c>
      <x:c r="E23" t="str">
        <x:v>RX-HOSP-20</x:v>
      </x:c>
      <x:c r="F23" t="str">
        <x:v>Product Eta</x:v>
      </x:c>
      <x:c r="G23" s="9" t="n">
        <x:v>320</x:v>
      </x:c>
      <x:c r="H23" s="10" t="n">
        <x:v>1240.8</x:v>
      </x:c>
      <x:c r="I23" s="10" t="n">
        <x:v>1017.0799999999999</x:v>
      </x:c>
      <x:c r="J23" s="10" t="n">
        <x:f>G23*I23</x:f>
        <x:v>325465.6</x:v>
      </x:c>
      <x:c r="K23" s="10" t="n">
        <x:v>462</x:v>
      </x:c>
      <x:c r="L23" s="10" t="n">
        <x:f>J23-(G23*K23)</x:f>
        <x:v>177625.59999999998</x:v>
      </x:c>
      <x:c r="M23" s="11" t="n">
        <x:f>IF(J23=0,0,L23/J23)</x:f>
        <x:v>0.5457584457466472</x:v>
      </x:c>
      <x:c r="N23" t="str">
        <x:v>Archived</x:v>
      </x:c>
    </x:row>
    <x:row r="24">
      <x:c r="A24" t="str">
        <x:v>FY26 Budget</x:v>
      </x:c>
      <x:c r="B24" s="8" t="str">
        <x:v>2026-02-01</x:v>
      </x:c>
      <x:c r="C24" t="str">
        <x:v>Region B</x:v>
      </x:c>
      <x:c r="D24" t="str">
        <x:v>Buying Group</x:v>
      </x:c>
      <x:c r="E24" t="str">
        <x:v>BIO-DERM-80</x:v>
      </x:c>
      <x:c r="F24" t="str">
        <x:v>Product Theta</x:v>
      </x:c>
      <x:c r="G24" s="9" t="n">
        <x:v>355</x:v>
      </x:c>
      <x:c r="H24" s="10" t="n">
        <x:v>931</x:v>
      </x:c>
      <x:c r="I24" s="10" t="n">
        <x:v>874.95</x:v>
      </x:c>
      <x:c r="J24" s="10" t="n">
        <x:f>G24*I24</x:f>
        <x:v>310607.25</x:v>
      </x:c>
      <x:c r="K24" s="10" t="n">
        <x:v>343</x:v>
      </x:c>
      <x:c r="L24" s="10" t="n">
        <x:f>J24-(G24*K24)</x:f>
        <x:v>188842.25</x:v>
      </x:c>
      <x:c r="M24" s="11" t="n">
        <x:f>IF(J24=0,0,L24/J24)</x:f>
        <x:v>0.6079775987199268</x:v>
      </x:c>
      <x:c r="N24" t="str">
        <x:v>Archived</x:v>
      </x:c>
    </x:row>
    <x:row r="25">
      <x:c r="A25" t="str">
        <x:v>FY26 Budget</x:v>
      </x:c>
      <x:c r="B25" s="8" t="str">
        <x:v>2026-02-01</x:v>
      </x:c>
      <x:c r="C25" t="str">
        <x:v>Region C</x:v>
      </x:c>
      <x:c r="D25" t="str">
        <x:v>Distributor</x:v>
      </x:c>
      <x:c r="E25" t="str">
        <x:v>RX-ONC-ORAL</x:v>
      </x:c>
      <x:c r="F25" t="str">
        <x:v>Product Iota</x:v>
      </x:c>
      <x:c r="G25" s="9" t="n">
        <x:v>390</x:v>
      </x:c>
      <x:c r="H25" s="10" t="n">
        <x:v>9024</x:v>
      </x:c>
      <x:c r="I25" s="10" t="n">
        <x:v>8347.2</x:v>
      </x:c>
      <x:c r="J25" s="10" t="n">
        <x:f>G25*I25</x:f>
        <x:v>3255408.0000000005</x:v>
      </x:c>
      <x:c r="K25" s="10" t="n">
        <x:v>2820</x:v>
      </x:c>
      <x:c r="L25" s="10" t="n">
        <x:f>J25-(G25*K25)</x:f>
        <x:v>2155608.0000000005</x:v>
      </x:c>
      <x:c r="M25" s="11" t="n">
        <x:f>IF(J25=0,0,L25/J25)</x:f>
        <x:v>0.6621621621621622</x:v>
      </x:c>
      <x:c r="N25" t="str">
        <x:v>Archived</x:v>
      </x:c>
    </x:row>
    <x:row r="26">
      <x:c r="A26" t="str">
        <x:v>FY26 Budget</x:v>
      </x:c>
      <x:c r="B26" s="8" t="str">
        <x:v>2026-02-01</x:v>
      </x:c>
      <x:c r="C26" t="str">
        <x:v>Region C</x:v>
      </x:c>
      <x:c r="D26" t="str">
        <x:v>Hospital / Institution</x:v>
      </x:c>
      <x:c r="E26" t="str">
        <x:v>RX-RARE-INF</x:v>
      </x:c>
      <x:c r="F26" t="str">
        <x:v>Product Kappa</x:v>
      </x:c>
      <x:c r="G26" s="9" t="n">
        <x:v>425</x:v>
      </x:c>
      <x:c r="H26" s="10" t="n">
        <x:v>33060</x:v>
      </x:c>
      <x:c r="I26" s="10" t="n">
        <x:v>30084.600000000002</x:v>
      </x:c>
      <x:c r="J26" s="10" t="n">
        <x:f>G26*I26</x:f>
        <x:v>12785955</x:v>
      </x:c>
      <x:c r="K26" s="10" t="n">
        <x:v>8700</x:v>
      </x:c>
      <x:c r="L26" s="10" t="n">
        <x:f>J26-(G26*K26)</x:f>
        <x:v>9088455</x:v>
      </x:c>
      <x:c r="M26" s="11" t="n">
        <x:f>IF(J26=0,0,L26/J26)</x:f>
        <x:v>0.7108155002891845</x:v>
      </x:c>
      <x:c r="N26" t="str">
        <x:v>Archived</x:v>
      </x:c>
    </x:row>
    <x:row r="27">
      <x:c r="A27" t="str">
        <x:v>FY26 Budget</x:v>
      </x:c>
      <x:c r="B27" s="8" t="str">
        <x:v>2026-02-01</x:v>
      </x:c>
      <x:c r="C27" t="str">
        <x:v>Region A</x:v>
      </x:c>
      <x:c r="D27" t="str">
        <x:v>Direct Corporate Account</x:v>
      </x:c>
      <x:c r="E27" t="str">
        <x:v>DX-GENE-02</x:v>
      </x:c>
      <x:c r="F27" t="str">
        <x:v>Product Lambda</x:v>
      </x:c>
      <x:c r="G27" s="9" t="n">
        <x:v>460</x:v>
      </x:c>
      <x:c r="H27" s="10" t="n">
        <x:v>1216</x:v>
      </x:c>
      <x:c r="I27" s="10" t="n">
        <x:v>1088.7</x:v>
      </x:c>
      <x:c r="J27" s="10" t="n">
        <x:f>G27*I27</x:f>
        <x:v>500802</x:v>
      </x:c>
      <x:c r="K27" s="10" t="n">
        <x:v>448</x:v>
      </x:c>
      <x:c r="L27" s="10" t="n">
        <x:f>J27-(G27*K27)</x:f>
        <x:v>294722</x:v>
      </x:c>
      <x:c r="M27" s="11" t="n">
        <x:f>IF(J27=0,0,L27/J27)</x:f>
        <x:v>0.5885000459263342</x:v>
      </x:c>
      <x:c r="N27" t="str">
        <x:v>Archived</x:v>
      </x:c>
    </x:row>
    <x:row r="28">
      <x:c r="A28" t="str">
        <x:v>FY26 Budget</x:v>
      </x:c>
      <x:c r="B28" s="8" t="str">
        <x:v>2026-02-01</x:v>
      </x:c>
      <x:c r="C28" t="str">
        <x:v>Region B</x:v>
      </x:c>
      <x:c r="D28" t="str">
        <x:v>Hospital / Institution</x:v>
      </x:c>
      <x:c r="E28" t="str">
        <x:v>SVC-PAT-01</x:v>
      </x:c>
      <x:c r="F28" t="str">
        <x:v>Product Mu</x:v>
      </x:c>
      <x:c r="G28" s="9" t="n">
        <x:v>495</x:v>
      </x:c>
      <x:c r="H28" s="10" t="n">
        <x:v>42000</x:v>
      </x:c>
      <x:c r="I28" s="10" t="n">
        <x:v>36960</x:v>
      </x:c>
      <x:c r="J28" s="10" t="n">
        <x:f>G28*I28</x:f>
        <x:v>18295200</x:v>
      </x:c>
      <x:c r="K28" s="10" t="n">
        <x:v>16800</x:v>
      </x:c>
      <x:c r="L28" s="10" t="n">
        <x:f>J28-(G28*K28)</x:f>
        <x:v>9979200</x:v>
      </x:c>
      <x:c r="M28" s="11" t="n">
        <x:f>IF(J28=0,0,L28/J28)</x:f>
        <x:v>0.5454545454545454</x:v>
      </x:c>
      <x:c r="N28" t="str">
        <x:v>Archived</x:v>
      </x:c>
    </x:row>
    <x:row r="29">
      <x:c r="A29" t="str">
        <x:v>FY26 Budget</x:v>
      </x:c>
      <x:c r="B29" s="8" t="str">
        <x:v>2026-03-01</x:v>
      </x:c>
      <x:c r="C29" t="str">
        <x:v>Region C</x:v>
      </x:c>
      <x:c r="D29" t="str">
        <x:v>Hospital / Institution</x:v>
      </x:c>
      <x:c r="E29" t="str">
        <x:v>RX-ONC-100</x:v>
      </x:c>
      <x:c r="F29" t="str">
        <x:v>Product Alpha</x:v>
      </x:c>
      <x:c r="G29" s="9" t="n">
        <x:v>124</x:v>
      </x:c>
      <x:c r="H29" s="10" t="n">
        <x:v>1776</x:v>
      </x:c>
      <x:c r="I29" s="10" t="n">
        <x:v>1589.76</x:v>
      </x:c>
      <x:c r="J29" s="10" t="n">
        <x:f>G29*I29</x:f>
        <x:v>197130.24</x:v>
      </x:c>
      <x:c r="K29" s="10" t="n">
        <x:v>555</x:v>
      </x:c>
      <x:c r="L29" s="10" t="n">
        <x:f>J29-(G29*K29)</x:f>
        <x:v>128310.23999999999</x:v>
      </x:c>
      <x:c r="M29" s="11" t="n">
        <x:f>IF(J29=0,0,L29/J29)</x:f>
        <x:v>0.6508907004830917</x:v>
      </x:c>
      <x:c r="N29" t="str">
        <x:v>Archived</x:v>
      </x:c>
    </x:row>
    <x:row r="30">
      <x:c r="A30" t="str">
        <x:v>FY26 Budget</x:v>
      </x:c>
      <x:c r="B30" s="8" t="str">
        <x:v>2026-03-01</x:v>
      </x:c>
      <x:c r="C30" t="str">
        <x:v>Region A</x:v>
      </x:c>
      <x:c r="D30" t="str">
        <x:v>Direct Corporate Account</x:v>
      </x:c>
      <x:c r="E30" t="str">
        <x:v>RX-ONC-500</x:v>
      </x:c>
      <x:c r="F30" t="str">
        <x:v>Product Beta</x:v>
      </x:c>
      <x:c r="G30" s="9" t="n">
        <x:v>166</x:v>
      </x:c>
      <x:c r="H30" s="10" t="n">
        <x:v>6840</x:v>
      </x:c>
      <x:c r="I30" s="10" t="n">
        <x:v>6019.2</x:v>
      </x:c>
      <x:c r="J30" s="10" t="n">
        <x:f>G30*I30</x:f>
        <x:v>999187.2</x:v>
      </x:c>
      <x:c r="K30" s="10" t="n">
        <x:v>2160</x:v>
      </x:c>
      <x:c r="L30" s="10" t="n">
        <x:f>J30-(G30*K30)</x:f>
        <x:v>640627.2</x:v>
      </x:c>
      <x:c r="M30" s="11" t="n">
        <x:f>IF(J30=0,0,L30/J30)</x:f>
        <x:v>0.6411483253588517</x:v>
      </x:c>
      <x:c r="N30" t="str">
        <x:v>Archived</x:v>
      </x:c>
    </x:row>
    <x:row r="31">
      <x:c r="A31" t="str">
        <x:v>FY26 Budget</x:v>
      </x:c>
      <x:c r="B31" s="8" t="str">
        <x:v>2026-03-01</x:v>
      </x:c>
      <x:c r="C31" t="str">
        <x:v>Region B</x:v>
      </x:c>
      <x:c r="D31" t="str">
        <x:v>Hospital / Institution</x:v>
      </x:c>
      <x:c r="E31" t="str">
        <x:v>BIO-RA-200</x:v>
      </x:c>
      <x:c r="F31" t="str">
        <x:v>Product Gamma</x:v>
      </x:c>
      <x:c r="G31" s="9" t="n">
        <x:v>208</x:v>
      </x:c>
      <x:c r="H31" s="10" t="n">
        <x:v>1121</x:v>
      </x:c>
      <x:c r="I31" s="10" t="n">
        <x:v>969.9499999999999</x:v>
      </x:c>
      <x:c r="J31" s="10" t="n">
        <x:f>G31*I31</x:f>
        <x:v>201749.59999999998</x:v>
      </x:c>
      <x:c r="K31" s="10" t="n">
        <x:v>413</x:v>
      </x:c>
      <x:c r="L31" s="10" t="n">
        <x:f>J31-(G31*K31)</x:f>
        <x:v>115845.59999999998</x:v>
      </x:c>
      <x:c r="M31" s="11" t="n">
        <x:f>IF(J31=0,0,L31/J31)</x:f>
        <x:v>0.5742048559204083</x:v>
      </x:c>
      <x:c r="N31" t="str">
        <x:v>Archived</x:v>
      </x:c>
    </x:row>
    <x:row r="32">
      <x:c r="A32" t="str">
        <x:v>FY26 Budget</x:v>
      </x:c>
      <x:c r="B32" s="8" t="str">
        <x:v>2026-03-01</x:v>
      </x:c>
      <x:c r="C32" t="str">
        <x:v>Region C</x:v>
      </x:c>
      <x:c r="D32" t="str">
        <x:v>Hospital / Institution</x:v>
      </x:c>
      <x:c r="E32" t="str">
        <x:v>RX-CARD-50</x:v>
      </x:c>
      <x:c r="F32" t="str">
        <x:v>Product Delta</x:v>
      </x:c>
      <x:c r="G32" s="9" t="n">
        <x:v>250</x:v>
      </x:c>
      <x:c r="H32" s="10" t="n">
        <x:v>394.8</x:v>
      </x:c>
      <x:c r="I32" s="10" t="n">
        <x:v>335.58</x:v>
      </x:c>
      <x:c r="J32" s="10" t="n">
        <x:f>G32*I32</x:f>
        <x:v>83895</x:v>
      </x:c>
      <x:c r="K32" s="10" t="n">
        <x:v>147</x:v>
      </x:c>
      <x:c r="L32" s="10" t="n">
        <x:f>J32-(G32*K32)</x:f>
        <x:v>47145</x:v>
      </x:c>
      <x:c r="M32" s="11" t="n">
        <x:f>IF(J32=0,0,L32/J32)</x:f>
        <x:v>0.5619524405506884</x:v>
      </x:c>
      <x:c r="N32" t="str">
        <x:v>Archived</x:v>
      </x:c>
    </x:row>
    <x:row r="33">
      <x:c r="A33" t="str">
        <x:v>FY26 Budget</x:v>
      </x:c>
      <x:c r="B33" s="8" t="str">
        <x:v>2026-03-01</x:v>
      </x:c>
      <x:c r="C33" t="str">
        <x:v>Region C</x:v>
      </x:c>
      <x:c r="D33" t="str">
        <x:v>Retail / Pharmacy Chain</x:v>
      </x:c>
      <x:c r="E33" t="str">
        <x:v>RX-RARE-10</x:v>
      </x:c>
      <x:c r="F33" t="str">
        <x:v>Product Epsilon</x:v>
      </x:c>
      <x:c r="G33" s="9" t="n">
        <x:v>292</x:v>
      </x:c>
      <x:c r="H33" s="10" t="n">
        <x:v>27170</x:v>
      </x:c>
      <x:c r="I33" s="10" t="n">
        <x:v>22686.95</x:v>
      </x:c>
      <x:c r="J33" s="10" t="n">
        <x:f>G33*I33</x:f>
        <x:v>6624589.4</x:v>
      </x:c>
      <x:c r="K33" s="10" t="n">
        <x:v>7150</x:v>
      </x:c>
      <x:c r="L33" s="10" t="n">
        <x:f>J33-(G33*K33)</x:f>
        <x:v>4536789.4</x:v>
      </x:c>
      <x:c r="M33" s="11" t="n">
        <x:f>IF(J33=0,0,L33/J33)</x:f>
        <x:v>0.6848408446265364</x:v>
      </x:c>
      <x:c r="N33" t="str">
        <x:v>Archived</x:v>
      </x:c>
    </x:row>
    <x:row r="34">
      <x:c r="A34" t="str">
        <x:v>FY26 Budget</x:v>
      </x:c>
      <x:c r="B34" s="8" t="str">
        <x:v>2026-03-01</x:v>
      </x:c>
      <x:c r="C34" t="str">
        <x:v>Region A</x:v>
      </x:c>
      <x:c r="D34" t="str">
        <x:v>Buying Group</x:v>
      </x:c>
      <x:c r="E34" t="str">
        <x:v>DX-COMP-01</x:v>
      </x:c>
      <x:c r="F34" t="str">
        <x:v>Product Zeta</x:v>
      </x:c>
      <x:c r="G34" s="9" t="n">
        <x:v>334</x:v>
      </x:c>
      <x:c r="H34" s="10" t="n">
        <x:v>902.5</x:v>
      </x:c>
      <x:c r="I34" s="10" t="n">
        <x:v>740.05</x:v>
      </x:c>
      <x:c r="J34" s="10" t="n">
        <x:f>G34*I34</x:f>
        <x:v>247176.69999999998</x:v>
      </x:c>
      <x:c r="K34" s="10" t="n">
        <x:v>333</x:v>
      </x:c>
      <x:c r="L34" s="10" t="n">
        <x:f>J34-(G34*K34)</x:f>
        <x:v>135954.69999999998</x:v>
      </x:c>
      <x:c r="M34" s="11" t="n">
        <x:f>IF(J34=0,0,L34/J34)</x:f>
        <x:v>0.5500304033511249</x:v>
      </x:c>
      <x:c r="N34" t="str">
        <x:v>Archived</x:v>
      </x:c>
    </x:row>
    <x:row r="35">
      <x:c r="A35" t="str">
        <x:v>FY26 Budget</x:v>
      </x:c>
      <x:c r="B35" s="8" t="str">
        <x:v>2026-03-01</x:v>
      </x:c>
      <x:c r="C35" t="str">
        <x:v>Region B</x:v>
      </x:c>
      <x:c r="D35" t="str">
        <x:v>Buying Group</x:v>
      </x:c>
      <x:c r="E35" t="str">
        <x:v>RX-HOSP-20</x:v>
      </x:c>
      <x:c r="F35" t="str">
        <x:v>Product Eta</x:v>
      </x:c>
      <x:c r="G35" s="9" t="n">
        <x:v>376</x:v>
      </x:c>
      <x:c r="H35" s="10" t="n">
        <x:v>1240.8</x:v>
      </x:c>
      <x:c r="I35" s="10" t="n">
        <x:v>1166.54</x:v>
      </x:c>
      <x:c r="J35" s="10" t="n">
        <x:f>G35*I35</x:f>
        <x:v>438619.04</x:v>
      </x:c>
      <x:c r="K35" s="10" t="n">
        <x:v>462</x:v>
      </x:c>
      <x:c r="L35" s="10" t="n">
        <x:f>J35-(G35*K35)</x:f>
        <x:v>264907.04</x:v>
      </x:c>
      <x:c r="M35" s="11" t="n">
        <x:f>IF(J35=0,0,L35/J35)</x:f>
        <x:v>0.6039570010458278</x:v>
      </x:c>
      <x:c r="N35" t="str">
        <x:v>Archived</x:v>
      </x:c>
    </x:row>
    <x:row r="36">
      <x:c r="A36" t="str">
        <x:v>FY26 Budget</x:v>
      </x:c>
      <x:c r="B36" s="8" t="str">
        <x:v>2026-03-01</x:v>
      </x:c>
      <x:c r="C36" t="str">
        <x:v>Region C</x:v>
      </x:c>
      <x:c r="D36" t="str">
        <x:v>Distributor</x:v>
      </x:c>
      <x:c r="E36" t="str">
        <x:v>BIO-DERM-80</x:v>
      </x:c>
      <x:c r="F36" t="str">
        <x:v>Product Theta</x:v>
      </x:c>
      <x:c r="G36" s="9" t="n">
        <x:v>418</x:v>
      </x:c>
      <x:c r="H36" s="10" t="n">
        <x:v>931</x:v>
      </x:c>
      <x:c r="I36" s="10" t="n">
        <x:v>861.65</x:v>
      </x:c>
      <x:c r="J36" s="10" t="n">
        <x:f>G36*I36</x:f>
        <x:v>360169.7</x:v>
      </x:c>
      <x:c r="K36" s="10" t="n">
        <x:v>343</x:v>
      </x:c>
      <x:c r="L36" s="10" t="n">
        <x:f>J36-(G36*K36)</x:f>
        <x:v>216795.7</x:v>
      </x:c>
      <x:c r="M36" s="11" t="n">
        <x:f>IF(J36=0,0,L36/J36)</x:f>
        <x:v>0.6019265362966402</x:v>
      </x:c>
      <x:c r="N36" t="str">
        <x:v>Archived</x:v>
      </x:c>
    </x:row>
    <x:row r="37">
      <x:c r="A37" t="str">
        <x:v>FY26 Budget</x:v>
      </x:c>
      <x:c r="B37" s="8" t="str">
        <x:v>2026-03-01</x:v>
      </x:c>
      <x:c r="C37" t="str">
        <x:v>Region C</x:v>
      </x:c>
      <x:c r="D37" t="str">
        <x:v>Hospital / Institution</x:v>
      </x:c>
      <x:c r="E37" t="str">
        <x:v>RX-ONC-ORAL</x:v>
      </x:c>
      <x:c r="F37" t="str">
        <x:v>Product Iota</x:v>
      </x:c>
      <x:c r="G37" s="9" t="n">
        <x:v>460</x:v>
      </x:c>
      <x:c r="H37" s="10" t="n">
        <x:v>9024</x:v>
      </x:c>
      <x:c r="I37" s="10" t="n">
        <x:v>8211.84</x:v>
      </x:c>
      <x:c r="J37" s="10" t="n">
        <x:f>G37*I37</x:f>
        <x:v>3777446.4</x:v>
      </x:c>
      <x:c r="K37" s="10" t="n">
        <x:v>2820</x:v>
      </x:c>
      <x:c r="L37" s="10" t="n">
        <x:f>J37-(G37*K37)</x:f>
        <x:v>2480246.4</x:v>
      </x:c>
      <x:c r="M37" s="11" t="n">
        <x:f>IF(J37=0,0,L37/J37)</x:f>
        <x:v>0.6565934065934066</x:v>
      </x:c>
      <x:c r="N37" t="str">
        <x:v>Archived</x:v>
      </x:c>
    </x:row>
    <x:row r="38">
      <x:c r="A38" t="str">
        <x:v>FY26 Budget</x:v>
      </x:c>
      <x:c r="B38" s="8" t="str">
        <x:v>2026-03-01</x:v>
      </x:c>
      <x:c r="C38" t="str">
        <x:v>Region A</x:v>
      </x:c>
      <x:c r="D38" t="str">
        <x:v>Direct Corporate Account</x:v>
      </x:c>
      <x:c r="E38" t="str">
        <x:v>RX-RARE-INF</x:v>
      </x:c>
      <x:c r="F38" t="str">
        <x:v>Product Kappa</x:v>
      </x:c>
      <x:c r="G38" s="9" t="n">
        <x:v>502</x:v>
      </x:c>
      <x:c r="H38" s="10" t="n">
        <x:v>33060</x:v>
      </x:c>
      <x:c r="I38" s="10" t="n">
        <x:v>29588.7</x:v>
      </x:c>
      <x:c r="J38" s="10" t="n">
        <x:f>G38*I38</x:f>
        <x:v>14853527.4</x:v>
      </x:c>
      <x:c r="K38" s="10" t="n">
        <x:v>8700</x:v>
      </x:c>
      <x:c r="L38" s="10" t="n">
        <x:f>J38-(G38*K38)</x:f>
        <x:v>10486127.4</x:v>
      </x:c>
      <x:c r="M38" s="11" t="n">
        <x:f>IF(J38=0,0,L38/J38)</x:f>
        <x:v>0.7059688326962658</x:v>
      </x:c>
      <x:c r="N38" t="str">
        <x:v>Archived</x:v>
      </x:c>
    </x:row>
    <x:row r="39">
      <x:c r="A39" t="str">
        <x:v>FY26 Budget</x:v>
      </x:c>
      <x:c r="B39" s="8" t="str">
        <x:v>2026-03-01</x:v>
      </x:c>
      <x:c r="C39" t="str">
        <x:v>Region B</x:v>
      </x:c>
      <x:c r="D39" t="str">
        <x:v>Hospital / Institution</x:v>
      </x:c>
      <x:c r="E39" t="str">
        <x:v>DX-GENE-02</x:v>
      </x:c>
      <x:c r="F39" t="str">
        <x:v>Product Lambda</x:v>
      </x:c>
      <x:c r="G39" s="9" t="n">
        <x:v>544</x:v>
      </x:c>
      <x:c r="H39" s="10" t="n">
        <x:v>1216</x:v>
      </x:c>
      <x:c r="I39" s="10" t="n">
        <x:v>1069.7</x:v>
      </x:c>
      <x:c r="J39" s="10" t="n">
        <x:f>G39*I39</x:f>
        <x:v>581916.8</x:v>
      </x:c>
      <x:c r="K39" s="10" t="n">
        <x:v>448</x:v>
      </x:c>
      <x:c r="L39" s="10" t="n">
        <x:f>J39-(G39*K39)</x:f>
        <x:v>338204.80000000005</x:v>
      </x:c>
      <x:c r="M39" s="11" t="n">
        <x:f>IF(J39=0,0,L39/J39)</x:f>
        <x:v>0.5811909881275125</x:v>
      </x:c>
      <x:c r="N39" t="str">
        <x:v>Archived</x:v>
      </x:c>
    </x:row>
    <x:row r="40">
      <x:c r="A40" t="str">
        <x:v>FY26 Budget</x:v>
      </x:c>
      <x:c r="B40" s="8" t="str">
        <x:v>2026-03-01</x:v>
      </x:c>
      <x:c r="C40" t="str">
        <x:v>Region C</x:v>
      </x:c>
      <x:c r="D40" t="str">
        <x:v>Hospital / Institution</x:v>
      </x:c>
      <x:c r="E40" t="str">
        <x:v>SVC-PAT-01</x:v>
      </x:c>
      <x:c r="F40" t="str">
        <x:v>Product Mu</x:v>
      </x:c>
      <x:c r="G40" s="9" t="n">
        <x:v>586</x:v>
      </x:c>
      <x:c r="H40" s="10" t="n">
        <x:v>42000</x:v>
      </x:c>
      <x:c r="I40" s="10" t="n">
        <x:v>36330</x:v>
      </x:c>
      <x:c r="J40" s="10" t="n">
        <x:f>G40*I40</x:f>
        <x:v>21289380</x:v>
      </x:c>
      <x:c r="K40" s="10" t="n">
        <x:v>16800</x:v>
      </x:c>
      <x:c r="L40" s="10" t="n">
        <x:f>J40-(G40*K40)</x:f>
        <x:v>11444580</x:v>
      </x:c>
      <x:c r="M40" s="11" t="n">
        <x:f>IF(J40=0,0,L40/J40)</x:f>
        <x:v>0.5375722543352601</x:v>
      </x:c>
      <x:c r="N40" t="str">
        <x:v>Archived</x:v>
      </x:c>
    </x:row>
    <x:row r="41">
      <x:c r="A41" t="str">
        <x:v>FY26 Budget</x:v>
      </x:c>
      <x:c r="B41" s="8" t="str">
        <x:v>2026-04-01</x:v>
      </x:c>
      <x:c r="C41" t="str">
        <x:v>Region A</x:v>
      </x:c>
      <x:c r="D41" t="str">
        <x:v>Direct Corporate Account</x:v>
      </x:c>
      <x:c r="E41" t="str">
        <x:v>RX-ONC-100</x:v>
      </x:c>
      <x:c r="F41" t="str">
        <x:v>Product Alpha</x:v>
      </x:c>
      <x:c r="G41" s="9" t="n">
        <x:v>138</x:v>
      </x:c>
      <x:c r="H41" s="10" t="n">
        <x:v>1776</x:v>
      </x:c>
      <x:c r="I41" s="10" t="n">
        <x:v>1562.88</x:v>
      </x:c>
      <x:c r="J41" s="10" t="n">
        <x:f>G41*I41</x:f>
        <x:v>215677.44</x:v>
      </x:c>
      <x:c r="K41" s="10" t="n">
        <x:v>555</x:v>
      </x:c>
      <x:c r="L41" s="10" t="n">
        <x:f>J41-(G41*K41)</x:f>
        <x:v>139087.44</x:v>
      </x:c>
      <x:c r="M41" s="11" t="n">
        <x:f>IF(J41=0,0,L41/J41)</x:f>
        <x:v>0.6448863636363636</x:v>
      </x:c>
      <x:c r="N41" t="str">
        <x:v>Active</x:v>
      </x:c>
    </x:row>
    <x:row r="42">
      <x:c r="A42" t="str">
        <x:v>FY26 Budget</x:v>
      </x:c>
      <x:c r="B42" s="8" t="str">
        <x:v>2026-04-01</x:v>
      </x:c>
      <x:c r="C42" t="str">
        <x:v>Region B</x:v>
      </x:c>
      <x:c r="D42" t="str">
        <x:v>Hospital / Institution</x:v>
      </x:c>
      <x:c r="E42" t="str">
        <x:v>RX-ONC-500</x:v>
      </x:c>
      <x:c r="F42" t="str">
        <x:v>Product Beta</x:v>
      </x:c>
      <x:c r="G42" s="9" t="n">
        <x:v>187</x:v>
      </x:c>
      <x:c r="H42" s="10" t="n">
        <x:v>6840</x:v>
      </x:c>
      <x:c r="I42" s="10" t="n">
        <x:v>5916.6</x:v>
      </x:c>
      <x:c r="J42" s="10" t="n">
        <x:f>G42*I42</x:f>
        <x:v>1106404.2</x:v>
      </x:c>
      <x:c r="K42" s="10" t="n">
        <x:v>2160</x:v>
      </x:c>
      <x:c r="L42" s="10" t="n">
        <x:f>J42-(G42*K42)</x:f>
        <x:v>702484.2</x:v>
      </x:c>
      <x:c r="M42" s="11" t="n">
        <x:f>IF(J42=0,0,L42/J42)</x:f>
        <x:v>0.6349254639488896</x:v>
      </x:c>
      <x:c r="N42" t="str">
        <x:v>Active</x:v>
      </x:c>
    </x:row>
    <x:row r="43">
      <x:c r="A43" t="str">
        <x:v>FY26 Budget</x:v>
      </x:c>
      <x:c r="B43" s="8" t="str">
        <x:v>2026-04-01</x:v>
      </x:c>
      <x:c r="C43" t="str">
        <x:v>Region C</x:v>
      </x:c>
      <x:c r="D43" t="str">
        <x:v>Hospital / Institution</x:v>
      </x:c>
      <x:c r="E43" t="str">
        <x:v>BIO-RA-200</x:v>
      </x:c>
      <x:c r="F43" t="str">
        <x:v>Product Gamma</x:v>
      </x:c>
      <x:c r="G43" s="9" t="n">
        <x:v>236</x:v>
      </x:c>
      <x:c r="H43" s="10" t="n">
        <x:v>1121</x:v>
      </x:c>
      <x:c r="I43" s="10" t="n">
        <x:v>952.85</x:v>
      </x:c>
      <x:c r="J43" s="10" t="n">
        <x:f>G43*I43</x:f>
        <x:v>224872.6</x:v>
      </x:c>
      <x:c r="K43" s="10" t="n">
        <x:v>413</x:v>
      </x:c>
      <x:c r="L43" s="10" t="n">
        <x:f>J43-(G43*K43)</x:f>
        <x:v>127404.6</x:v>
      </x:c>
      <x:c r="M43" s="11" t="n">
        <x:f>IF(J43=0,0,L43/J43)</x:f>
        <x:v>0.56656346749226</x:v>
      </x:c>
      <x:c r="N43" t="str">
        <x:v>Active</x:v>
      </x:c>
    </x:row>
    <x:row r="44">
      <x:c r="A44" t="str">
        <x:v>FY26 Budget</x:v>
      </x:c>
      <x:c r="B44" s="8" t="str">
        <x:v>2026-04-01</x:v>
      </x:c>
      <x:c r="C44" t="str">
        <x:v>Region C</x:v>
      </x:c>
      <x:c r="D44" t="str">
        <x:v>Retail / Pharmacy Chain</x:v>
      </x:c>
      <x:c r="E44" t="str">
        <x:v>RX-CARD-50</x:v>
      </x:c>
      <x:c r="F44" t="str">
        <x:v>Product Delta</x:v>
      </x:c>
      <x:c r="G44" s="9" t="n">
        <x:v>285</x:v>
      </x:c>
      <x:c r="H44" s="10" t="n">
        <x:v>394.8</x:v>
      </x:c>
      <x:c r="I44" s="10" t="n">
        <x:v>329.94</x:v>
      </x:c>
      <x:c r="J44" s="10" t="n">
        <x:f>G44*I44</x:f>
        <x:v>94032.9</x:v>
      </x:c>
      <x:c r="K44" s="10" t="n">
        <x:v>147</x:v>
      </x:c>
      <x:c r="L44" s="10" t="n">
        <x:f>J44-(G44*K44)</x:f>
        <x:v>52137.899999999994</x:v>
      </x:c>
      <x:c r="M44" s="11" t="n">
        <x:f>IF(J44=0,0,L44/J44)</x:f>
        <x:v>0.5544644480814693</x:v>
      </x:c>
      <x:c r="N44" t="str">
        <x:v>Active</x:v>
      </x:c>
    </x:row>
    <x:row r="45">
      <x:c r="A45" t="str">
        <x:v>FY26 Budget</x:v>
      </x:c>
      <x:c r="B45" s="8" t="str">
        <x:v>2026-04-01</x:v>
      </x:c>
      <x:c r="C45" t="str">
        <x:v>Region A</x:v>
      </x:c>
      <x:c r="D45" t="str">
        <x:v>Buying Group</x:v>
      </x:c>
      <x:c r="E45" t="str">
        <x:v>RX-RARE-10</x:v>
      </x:c>
      <x:c r="F45" t="str">
        <x:v>Product Epsilon</x:v>
      </x:c>
      <x:c r="G45" s="9" t="n">
        <x:v>334</x:v>
      </x:c>
      <x:c r="H45" s="10" t="n">
        <x:v>27170</x:v>
      </x:c>
      <x:c r="I45" s="10" t="n">
        <x:v>22279.399999999998</x:v>
      </x:c>
      <x:c r="J45" s="10" t="n">
        <x:f>G45*I45</x:f>
        <x:v>7441319.6</x:v>
      </x:c>
      <x:c r="K45" s="10" t="n">
        <x:v>7150</x:v>
      </x:c>
      <x:c r="L45" s="10" t="n">
        <x:f>J45-(G45*K45)</x:f>
        <x:v>5053219.6</x:v>
      </x:c>
      <x:c r="M45" s="11" t="n">
        <x:f>IF(J45=0,0,L45/J45)</x:f>
        <x:v>0.6790757381258022</x:v>
      </x:c>
      <x:c r="N45" t="str">
        <x:v>Active</x:v>
      </x:c>
    </x:row>
    <x:row r="46">
      <x:c r="A46" t="str">
        <x:v>FY26 Budget</x:v>
      </x:c>
      <x:c r="B46" s="8" t="str">
        <x:v>2026-04-01</x:v>
      </x:c>
      <x:c r="C46" t="str">
        <x:v>Region B</x:v>
      </x:c>
      <x:c r="D46" t="str">
        <x:v>Buying Group</x:v>
      </x:c>
      <x:c r="E46" t="str">
        <x:v>DX-COMP-01</x:v>
      </x:c>
      <x:c r="F46" t="str">
        <x:v>Product Zeta</x:v>
      </x:c>
      <x:c r="G46" s="9" t="n">
        <x:v>383</x:v>
      </x:c>
      <x:c r="H46" s="10" t="n">
        <x:v>902.5</x:v>
      </x:c>
      <x:c r="I46" s="10" t="n">
        <x:v>848.3499999999999</x:v>
      </x:c>
      <x:c r="J46" s="10" t="n">
        <x:f>G46*I46</x:f>
        <x:v>324918.05</x:v>
      </x:c>
      <x:c r="K46" s="10" t="n">
        <x:v>333</x:v>
      </x:c>
      <x:c r="L46" s="10" t="n">
        <x:f>J46-(G46*K46)</x:f>
        <x:v>197379.05</x:v>
      </x:c>
      <x:c r="M46" s="11" t="n">
        <x:f>IF(J46=0,0,L46/J46)</x:f>
        <x:v>0.6074733305828962</x:v>
      </x:c>
      <x:c r="N46" t="str">
        <x:v>Active</x:v>
      </x:c>
    </x:row>
    <x:row r="47">
      <x:c r="A47" t="str">
        <x:v>FY26 Budget</x:v>
      </x:c>
      <x:c r="B47" s="8" t="str">
        <x:v>2026-04-01</x:v>
      </x:c>
      <x:c r="C47" t="str">
        <x:v>Region C</x:v>
      </x:c>
      <x:c r="D47" t="str">
        <x:v>Distributor</x:v>
      </x:c>
      <x:c r="E47" t="str">
        <x:v>RX-HOSP-20</x:v>
      </x:c>
      <x:c r="F47" t="str">
        <x:v>Product Eta</x:v>
      </x:c>
      <x:c r="G47" s="9" t="n">
        <x:v>432</x:v>
      </x:c>
      <x:c r="H47" s="10" t="n">
        <x:v>1240.8</x:v>
      </x:c>
      <x:c r="I47" s="10" t="n">
        <x:v>1147.74</x:v>
      </x:c>
      <x:c r="J47" s="10" t="n">
        <x:f>G47*I47</x:f>
        <x:v>495823.68</x:v>
      </x:c>
      <x:c r="K47" s="10" t="n">
        <x:v>462</x:v>
      </x:c>
      <x:c r="L47" s="10" t="n">
        <x:f>J47-(G47*K47)</x:f>
        <x:v>296239.68</x:v>
      </x:c>
      <x:c r="M47" s="11" t="n">
        <x:f>IF(J47=0,0,L47/J47)</x:f>
        <x:v>0.5974698102357677</x:v>
      </x:c>
      <x:c r="N47" t="str">
        <x:v>Active</x:v>
      </x:c>
    </x:row>
    <x:row r="48">
      <x:c r="A48" t="str">
        <x:v>FY26 Budget</x:v>
      </x:c>
      <x:c r="B48" s="8" t="str">
        <x:v>2026-04-01</x:v>
      </x:c>
      <x:c r="C48" t="str">
        <x:v>Region C</x:v>
      </x:c>
      <x:c r="D48" t="str">
        <x:v>Hospital / Institution</x:v>
      </x:c>
      <x:c r="E48" t="str">
        <x:v>BIO-DERM-80</x:v>
      </x:c>
      <x:c r="F48" t="str">
        <x:v>Product Theta</x:v>
      </x:c>
      <x:c r="G48" s="9" t="n">
        <x:v>481</x:v>
      </x:c>
      <x:c r="H48" s="10" t="n">
        <x:v>931</x:v>
      </x:c>
      <x:c r="I48" s="10" t="n">
        <x:v>847.4</x:v>
      </x:c>
      <x:c r="J48" s="10" t="n">
        <x:f>G48*I48</x:f>
        <x:v>407599.39999999997</x:v>
      </x:c>
      <x:c r="K48" s="10" t="n">
        <x:v>343</x:v>
      </x:c>
      <x:c r="L48" s="10" t="n">
        <x:f>J48-(G48*K48)</x:f>
        <x:v>242616.39999999997</x:v>
      </x:c>
      <x:c r="M48" s="11" t="n">
        <x:f>IF(J48=0,0,L48/J48)</x:f>
        <x:v>0.5952324758083549</x:v>
      </x:c>
      <x:c r="N48" t="str">
        <x:v>Active</x:v>
      </x:c>
    </x:row>
    <x:row r="49">
      <x:c r="A49" t="str">
        <x:v>FY26 Budget</x:v>
      </x:c>
      <x:c r="B49" s="8" t="str">
        <x:v>2026-04-01</x:v>
      </x:c>
      <x:c r="C49" t="str">
        <x:v>Region A</x:v>
      </x:c>
      <x:c r="D49" t="str">
        <x:v>Direct Corporate Account</x:v>
      </x:c>
      <x:c r="E49" t="str">
        <x:v>RX-ONC-ORAL</x:v>
      </x:c>
      <x:c r="F49" t="str">
        <x:v>Product Iota</x:v>
      </x:c>
      <x:c r="G49" s="9" t="n">
        <x:v>530</x:v>
      </x:c>
      <x:c r="H49" s="10" t="n">
        <x:v>9024</x:v>
      </x:c>
      <x:c r="I49" s="10" t="n">
        <x:v>8076.4800000000005</x:v>
      </x:c>
      <x:c r="J49" s="10" t="n">
        <x:f>G49*I49</x:f>
        <x:v>4280534.4</x:v>
      </x:c>
      <x:c r="K49" s="10" t="n">
        <x:v>2820</x:v>
      </x:c>
      <x:c r="L49" s="10" t="n">
        <x:f>J49-(G49*K49)</x:f>
        <x:v>2785934.4000000004</x:v>
      </x:c>
      <x:c r="M49" s="11" t="n">
        <x:f>IF(J49=0,0,L49/J49)</x:f>
        <x:v>0.6508379888268156</x:v>
      </x:c>
      <x:c r="N49" t="str">
        <x:v>Active</x:v>
      </x:c>
    </x:row>
    <x:row r="50">
      <x:c r="A50" t="str">
        <x:v>FY26 Budget</x:v>
      </x:c>
      <x:c r="B50" s="8" t="str">
        <x:v>2026-04-01</x:v>
      </x:c>
      <x:c r="C50" t="str">
        <x:v>Region B</x:v>
      </x:c>
      <x:c r="D50" t="str">
        <x:v>Hospital / Institution</x:v>
      </x:c>
      <x:c r="E50" t="str">
        <x:v>RX-RARE-INF</x:v>
      </x:c>
      <x:c r="F50" t="str">
        <x:v>Product Kappa</x:v>
      </x:c>
      <x:c r="G50" s="9" t="n">
        <x:v>579</x:v>
      </x:c>
      <x:c r="H50" s="10" t="n">
        <x:v>33060</x:v>
      </x:c>
      <x:c r="I50" s="10" t="n">
        <x:v>29092.8</x:v>
      </x:c>
      <x:c r="J50" s="10" t="n">
        <x:f>G50*I50</x:f>
        <x:v>16844731.2</x:v>
      </x:c>
      <x:c r="K50" s="10" t="n">
        <x:v>8700</x:v>
      </x:c>
      <x:c r="L50" s="10" t="n">
        <x:f>J50-(G50*K50)</x:f>
        <x:v>11807431.2</x:v>
      </x:c>
      <x:c r="M50" s="11" t="n">
        <x:f>IF(J50=0,0,L50/J50)</x:f>
        <x:v>0.700956937799043</x:v>
      </x:c>
      <x:c r="N50" t="str">
        <x:v>Active</x:v>
      </x:c>
    </x:row>
    <x:row r="51">
      <x:c r="A51" t="str">
        <x:v>FY26 Budget</x:v>
      </x:c>
      <x:c r="B51" s="8" t="str">
        <x:v>2026-04-01</x:v>
      </x:c>
      <x:c r="C51" t="str">
        <x:v>Region C</x:v>
      </x:c>
      <x:c r="D51" t="str">
        <x:v>Hospital / Institution</x:v>
      </x:c>
      <x:c r="E51" t="str">
        <x:v>DX-GENE-02</x:v>
      </x:c>
      <x:c r="F51" t="str">
        <x:v>Product Lambda</x:v>
      </x:c>
      <x:c r="G51" s="9" t="n">
        <x:v>628</x:v>
      </x:c>
      <x:c r="H51" s="10" t="n">
        <x:v>1216</x:v>
      </x:c>
      <x:c r="I51" s="10" t="n">
        <x:v>1051.65</x:v>
      </x:c>
      <x:c r="J51" s="10" t="n">
        <x:f>G51*I51</x:f>
        <x:v>660436.2000000001</x:v>
      </x:c>
      <x:c r="K51" s="10" t="n">
        <x:v>448</x:v>
      </x:c>
      <x:c r="L51" s="10" t="n">
        <x:f>J51-(G51*K51)</x:f>
        <x:v>379092.20000000007</x:v>
      </x:c>
      <x:c r="M51" s="11" t="n">
        <x:f>IF(J51=0,0,L51/J51)</x:f>
        <x:v>0.5740027575714354</x:v>
      </x:c>
      <x:c r="N51" t="str">
        <x:v>Active</x:v>
      </x:c>
    </x:row>
    <x:row r="52">
      <x:c r="A52" t="str">
        <x:v>FY26 Budget</x:v>
      </x:c>
      <x:c r="B52" s="8" t="str">
        <x:v>2026-04-01</x:v>
      </x:c>
      <x:c r="C52" t="str">
        <x:v>Region C</x:v>
      </x:c>
      <x:c r="D52" t="str">
        <x:v>Retail / Pharmacy Chain</x:v>
      </x:c>
      <x:c r="E52" t="str">
        <x:v>SVC-PAT-01</x:v>
      </x:c>
      <x:c r="F52" t="str">
        <x:v>Product Mu</x:v>
      </x:c>
      <x:c r="G52" s="9" t="n">
        <x:v>677</x:v>
      </x:c>
      <x:c r="H52" s="10" t="n">
        <x:v>42000</x:v>
      </x:c>
      <x:c r="I52" s="10" t="n">
        <x:v>35700</x:v>
      </x:c>
      <x:c r="J52" s="10" t="n">
        <x:f>G52*I52</x:f>
        <x:v>24168900</x:v>
      </x:c>
      <x:c r="K52" s="10" t="n">
        <x:v>16800</x:v>
      </x:c>
      <x:c r="L52" s="10" t="n">
        <x:f>J52-(G52*K52)</x:f>
        <x:v>12795300</x:v>
      </x:c>
      <x:c r="M52" s="11" t="n">
        <x:f>IF(J52=0,0,L52/J52)</x:f>
        <x:v>0.5294117647058824</x:v>
      </x:c>
      <x:c r="N52" t="str">
        <x:v>Active</x:v>
      </x:c>
    </x:row>
    <x:row r="53">
      <x:c r="A53" t="str">
        <x:v>FY26 Budget</x:v>
      </x:c>
      <x:c r="B53" s="8" t="str">
        <x:v>2026-05-01</x:v>
      </x:c>
      <x:c r="C53" t="str">
        <x:v>Region B</x:v>
      </x:c>
      <x:c r="D53" t="str">
        <x:v>Hospital / Institution</x:v>
      </x:c>
      <x:c r="E53" t="str">
        <x:v>RX-ONC-100</x:v>
      </x:c>
      <x:c r="F53" t="str">
        <x:v>Product Alpha</x:v>
      </x:c>
      <x:c r="G53" s="9" t="n">
        <x:v>152</x:v>
      </x:c>
      <x:c r="H53" s="10" t="n">
        <x:v>1776</x:v>
      </x:c>
      <x:c r="I53" s="10" t="n">
        <x:v>1536</x:v>
      </x:c>
      <x:c r="J53" s="10" t="n">
        <x:f>G53*I53</x:f>
        <x:v>233472</x:v>
      </x:c>
      <x:c r="K53" s="10" t="n">
        <x:v>555</x:v>
      </x:c>
      <x:c r="L53" s="10" t="n">
        <x:f>J53-(G53*K53)</x:f>
        <x:v>149112</x:v>
      </x:c>
      <x:c r="M53" s="11" t="n">
        <x:f>IF(J53=0,0,L53/J53)</x:f>
        <x:v>0.638671875</x:v>
      </x:c>
      <x:c r="N53" t="str">
        <x:v>Active</x:v>
      </x:c>
    </x:row>
    <x:row r="54">
      <x:c r="A54" t="str">
        <x:v>FY26 Budget</x:v>
      </x:c>
      <x:c r="B54" s="8" t="str">
        <x:v>2026-05-01</x:v>
      </x:c>
      <x:c r="C54" t="str">
        <x:v>Region C</x:v>
      </x:c>
      <x:c r="D54" t="str">
        <x:v>Hospital / Institution</x:v>
      </x:c>
      <x:c r="E54" t="str">
        <x:v>RX-ONC-500</x:v>
      </x:c>
      <x:c r="F54" t="str">
        <x:v>Product Beta</x:v>
      </x:c>
      <x:c r="G54" s="9" t="n">
        <x:v>208</x:v>
      </x:c>
      <x:c r="H54" s="10" t="n">
        <x:v>6840</x:v>
      </x:c>
      <x:c r="I54" s="10" t="n">
        <x:v>5814</x:v>
      </x:c>
      <x:c r="J54" s="10" t="n">
        <x:f>G54*I54</x:f>
        <x:v>1209312</x:v>
      </x:c>
      <x:c r="K54" s="10" t="n">
        <x:v>2160</x:v>
      </x:c>
      <x:c r="L54" s="10" t="n">
        <x:f>J54-(G54*K54)</x:f>
        <x:v>760032</x:v>
      </x:c>
      <x:c r="M54" s="11" t="n">
        <x:f>IF(J54=0,0,L54/J54)</x:f>
        <x:v>0.628482972136223</x:v>
      </x:c>
      <x:c r="N54" t="str">
        <x:v>Active</x:v>
      </x:c>
    </x:row>
    <x:row r="55">
      <x:c r="A55" t="str">
        <x:v>FY26 Budget</x:v>
      </x:c>
      <x:c r="B55" s="8" t="str">
        <x:v>2026-05-01</x:v>
      </x:c>
      <x:c r="C55" t="str">
        <x:v>Region C</x:v>
      </x:c>
      <x:c r="D55" t="str">
        <x:v>Retail / Pharmacy Chain</x:v>
      </x:c>
      <x:c r="E55" t="str">
        <x:v>BIO-RA-200</x:v>
      </x:c>
      <x:c r="F55" t="str">
        <x:v>Product Gamma</x:v>
      </x:c>
      <x:c r="G55" s="9" t="n">
        <x:v>264</x:v>
      </x:c>
      <x:c r="H55" s="10" t="n">
        <x:v>1121</x:v>
      </x:c>
      <x:c r="I55" s="10" t="n">
        <x:v>935.75</x:v>
      </x:c>
      <x:c r="J55" s="10" t="n">
        <x:f>G55*I55</x:f>
        <x:v>247038</x:v>
      </x:c>
      <x:c r="K55" s="10" t="n">
        <x:v>413</x:v>
      </x:c>
      <x:c r="L55" s="10" t="n">
        <x:f>J55-(G55*K55)</x:f>
        <x:v>138006</x:v>
      </x:c>
      <x:c r="M55" s="11" t="n">
        <x:f>IF(J55=0,0,L55/J55)</x:f>
        <x:v>0.5586427998931338</x:v>
      </x:c>
      <x:c r="N55" t="str">
        <x:v>Active</x:v>
      </x:c>
    </x:row>
    <x:row r="56">
      <x:c r="A56" t="str">
        <x:v>FY26 Budget</x:v>
      </x:c>
      <x:c r="B56" s="8" t="str">
        <x:v>2026-05-01</x:v>
      </x:c>
      <x:c r="C56" t="str">
        <x:v>Region A</x:v>
      </x:c>
      <x:c r="D56" t="str">
        <x:v>Buying Group</x:v>
      </x:c>
      <x:c r="E56" t="str">
        <x:v>RX-CARD-50</x:v>
      </x:c>
      <x:c r="F56" t="str">
        <x:v>Product Delta</x:v>
      </x:c>
      <x:c r="G56" s="9" t="n">
        <x:v>320</x:v>
      </x:c>
      <x:c r="H56" s="10" t="n">
        <x:v>394.8</x:v>
      </x:c>
      <x:c r="I56" s="10" t="n">
        <x:v>323.36</x:v>
      </x:c>
      <x:c r="J56" s="10" t="n">
        <x:f>G56*I56</x:f>
        <x:v>103475.20000000001</x:v>
      </x:c>
      <x:c r="K56" s="10" t="n">
        <x:v>147</x:v>
      </x:c>
      <x:c r="L56" s="10" t="n">
        <x:f>J56-(G56*K56)</x:f>
        <x:v>56435.20000000001</x:v>
      </x:c>
      <x:c r="M56" s="11" t="n">
        <x:f>IF(J56=0,0,L56/J56)</x:f>
        <x:v>0.5453983176645225</x:v>
      </x:c>
      <x:c r="N56" t="str">
        <x:v>Active</x:v>
      </x:c>
    </x:row>
    <x:row r="57">
      <x:c r="A57" t="str">
        <x:v>FY26 Budget</x:v>
      </x:c>
      <x:c r="B57" s="8" t="str">
        <x:v>2026-05-01</x:v>
      </x:c>
      <x:c r="C57" t="str">
        <x:v>Region B</x:v>
      </x:c>
      <x:c r="D57" t="str">
        <x:v>Buying Group</x:v>
      </x:c>
      <x:c r="E57" t="str">
        <x:v>RX-RARE-10</x:v>
      </x:c>
      <x:c r="F57" t="str">
        <x:v>Product Epsilon</x:v>
      </x:c>
      <x:c r="G57" s="9" t="n">
        <x:v>376</x:v>
      </x:c>
      <x:c r="H57" s="10" t="n">
        <x:v>27170</x:v>
      </x:c>
      <x:c r="I57" s="10" t="n">
        <x:v>25539.8</x:v>
      </x:c>
      <x:c r="J57" s="10" t="n">
        <x:f>G57*I57</x:f>
        <x:v>9602964.799999999</x:v>
      </x:c>
      <x:c r="K57" s="10" t="n">
        <x:v>7150</x:v>
      </x:c>
      <x:c r="L57" s="10" t="n">
        <x:f>J57-(G57*K57)</x:f>
        <x:v>6914564.799999999</x:v>
      </x:c>
      <x:c r="M57" s="11" t="n">
        <x:f>IF(J57=0,0,L57/J57)</x:f>
        <x:v>0.7200447928331467</x:v>
      </x:c>
      <x:c r="N57" t="str">
        <x:v>Active</x:v>
      </x:c>
    </x:row>
    <x:row r="58">
      <x:c r="A58" t="str">
        <x:v>FY26 Budget</x:v>
      </x:c>
      <x:c r="B58" s="8" t="str">
        <x:v>2026-05-01</x:v>
      </x:c>
      <x:c r="C58" t="str">
        <x:v>Region C</x:v>
      </x:c>
      <x:c r="D58" t="str">
        <x:v>Distributor</x:v>
      </x:c>
      <x:c r="E58" t="str">
        <x:v>DX-COMP-01</x:v>
      </x:c>
      <x:c r="F58" t="str">
        <x:v>Product Zeta</x:v>
      </x:c>
      <x:c r="G58" s="9" t="n">
        <x:v>432</x:v>
      </x:c>
      <x:c r="H58" s="10" t="n">
        <x:v>902.5</x:v>
      </x:c>
      <x:c r="I58" s="10" t="n">
        <x:v>835.05</x:v>
      </x:c>
      <x:c r="J58" s="10" t="n">
        <x:f>G58*I58</x:f>
        <x:v>360741.6</x:v>
      </x:c>
      <x:c r="K58" s="10" t="n">
        <x:v>333</x:v>
      </x:c>
      <x:c r="L58" s="10" t="n">
        <x:f>J58-(G58*K58)</x:f>
        <x:v>216885.59999999998</x:v>
      </x:c>
      <x:c r="M58" s="11" t="n">
        <x:f>IF(J58=0,0,L58/J58)</x:f>
        <x:v>0.6012214837434884</x:v>
      </x:c>
      <x:c r="N58" t="str">
        <x:v>Active</x:v>
      </x:c>
    </x:row>
    <x:row r="59">
      <x:c r="A59" t="str">
        <x:v>FY26 Budget</x:v>
      </x:c>
      <x:c r="B59" s="8" t="str">
        <x:v>2026-05-01</x:v>
      </x:c>
      <x:c r="C59" t="str">
        <x:v>Region C</x:v>
      </x:c>
      <x:c r="D59" t="str">
        <x:v>Hospital / Institution</x:v>
      </x:c>
      <x:c r="E59" t="str">
        <x:v>RX-HOSP-20</x:v>
      </x:c>
      <x:c r="F59" t="str">
        <x:v>Product Eta</x:v>
      </x:c>
      <x:c r="G59" s="9" t="n">
        <x:v>488</x:v>
      </x:c>
      <x:c r="H59" s="10" t="n">
        <x:v>1240.8</x:v>
      </x:c>
      <x:c r="I59" s="10" t="n">
        <x:v>1128.9399999999998</x:v>
      </x:c>
      <x:c r="J59" s="10" t="n">
        <x:f>G59*I59</x:f>
        <x:v>550922.72</x:v>
      </x:c>
      <x:c r="K59" s="10" t="n">
        <x:v>462</x:v>
      </x:c>
      <x:c r="L59" s="10" t="n">
        <x:f>J59-(G59*K59)</x:f>
        <x:v>325466.72</x:v>
      </x:c>
      <x:c r="M59" s="11" t="n">
        <x:f>IF(J59=0,0,L59/J59)</x:f>
        <x:v>0.5907665597817422</x:v>
      </x:c>
      <x:c r="N59" t="str">
        <x:v>Active</x:v>
      </x:c>
    </x:row>
    <x:row r="60">
      <x:c r="A60" t="str">
        <x:v>FY26 Budget</x:v>
      </x:c>
      <x:c r="B60" s="8" t="str">
        <x:v>2026-05-01</x:v>
      </x:c>
      <x:c r="C60" t="str">
        <x:v>Region A</x:v>
      </x:c>
      <x:c r="D60" t="str">
        <x:v>Direct Corporate Account</x:v>
      </x:c>
      <x:c r="E60" t="str">
        <x:v>BIO-DERM-80</x:v>
      </x:c>
      <x:c r="F60" t="str">
        <x:v>Product Theta</x:v>
      </x:c>
      <x:c r="G60" s="9" t="n">
        <x:v>544</x:v>
      </x:c>
      <x:c r="H60" s="10" t="n">
        <x:v>931</x:v>
      </x:c>
      <x:c r="I60" s="10" t="n">
        <x:v>833.15</x:v>
      </x:c>
      <x:c r="J60" s="10" t="n">
        <x:f>G60*I60</x:f>
        <x:v>453233.6</x:v>
      </x:c>
      <x:c r="K60" s="10" t="n">
        <x:v>343</x:v>
      </x:c>
      <x:c r="L60" s="10" t="n">
        <x:f>J60-(G60*K60)</x:f>
        <x:v>266641.6</x:v>
      </x:c>
      <x:c r="M60" s="11" t="n">
        <x:f>IF(J60=0,0,L60/J60)</x:f>
        <x:v>0.5883094280741763</x:v>
      </x:c>
      <x:c r="N60" t="str">
        <x:v>Active</x:v>
      </x:c>
    </x:row>
    <x:row r="61">
      <x:c r="A61" t="str">
        <x:v>FY26 Budget</x:v>
      </x:c>
      <x:c r="B61" s="8" t="str">
        <x:v>2026-05-01</x:v>
      </x:c>
      <x:c r="C61" t="str">
        <x:v>Region B</x:v>
      </x:c>
      <x:c r="D61" t="str">
        <x:v>Hospital / Institution</x:v>
      </x:c>
      <x:c r="E61" t="str">
        <x:v>RX-ONC-ORAL</x:v>
      </x:c>
      <x:c r="F61" t="str">
        <x:v>Product Iota</x:v>
      </x:c>
      <x:c r="G61" s="9" t="n">
        <x:v>600</x:v>
      </x:c>
      <x:c r="H61" s="10" t="n">
        <x:v>9024</x:v>
      </x:c>
      <x:c r="I61" s="10" t="n">
        <x:v>7941.12</x:v>
      </x:c>
      <x:c r="J61" s="10" t="n">
        <x:f>G61*I61</x:f>
        <x:v>4764672</x:v>
      </x:c>
      <x:c r="K61" s="10" t="n">
        <x:v>2820</x:v>
      </x:c>
      <x:c r="L61" s="10" t="n">
        <x:f>J61-(G61*K61)</x:f>
        <x:v>3072672</x:v>
      </x:c>
      <x:c r="M61" s="11" t="n">
        <x:f>IF(J61=0,0,L61/J61)</x:f>
        <x:v>0.6448863636363636</x:v>
      </x:c>
      <x:c r="N61" t="str">
        <x:v>Active</x:v>
      </x:c>
    </x:row>
    <x:row r="62">
      <x:c r="A62" t="str">
        <x:v>FY26 Budget</x:v>
      </x:c>
      <x:c r="B62" s="8" t="str">
        <x:v>2026-05-01</x:v>
      </x:c>
      <x:c r="C62" t="str">
        <x:v>Region C</x:v>
      </x:c>
      <x:c r="D62" t="str">
        <x:v>Hospital / Institution</x:v>
      </x:c>
      <x:c r="E62" t="str">
        <x:v>RX-RARE-INF</x:v>
      </x:c>
      <x:c r="F62" t="str">
        <x:v>Product Kappa</x:v>
      </x:c>
      <x:c r="G62" s="9" t="n">
        <x:v>656</x:v>
      </x:c>
      <x:c r="H62" s="10" t="n">
        <x:v>33060</x:v>
      </x:c>
      <x:c r="I62" s="10" t="n">
        <x:v>28596.9</x:v>
      </x:c>
      <x:c r="J62" s="10" t="n">
        <x:f>G62*I62</x:f>
        <x:v>18759566.400000002</x:v>
      </x:c>
      <x:c r="K62" s="10" t="n">
        <x:v>8700</x:v>
      </x:c>
      <x:c r="L62" s="10" t="n">
        <x:f>J62-(G62*K62)</x:f>
        <x:v>13052366.400000002</x:v>
      </x:c>
      <x:c r="M62" s="11" t="n">
        <x:f>IF(J62=0,0,L62/J62)</x:f>
        <x:v>0.695771219957408</x:v>
      </x:c>
      <x:c r="N62" t="str">
        <x:v>Active</x:v>
      </x:c>
    </x:row>
    <x:row r="63">
      <x:c r="A63" t="str">
        <x:v>FY26 Budget</x:v>
      </x:c>
      <x:c r="B63" s="8" t="str">
        <x:v>2026-05-01</x:v>
      </x:c>
      <x:c r="C63" t="str">
        <x:v>Region C</x:v>
      </x:c>
      <x:c r="D63" t="str">
        <x:v>Retail / Pharmacy Chain</x:v>
      </x:c>
      <x:c r="E63" t="str">
        <x:v>DX-GENE-02</x:v>
      </x:c>
      <x:c r="F63" t="str">
        <x:v>Product Lambda</x:v>
      </x:c>
      <x:c r="G63" s="9" t="n">
        <x:v>712</x:v>
      </x:c>
      <x:c r="H63" s="10" t="n">
        <x:v>1216</x:v>
      </x:c>
      <x:c r="I63" s="10" t="n">
        <x:v>1033.6</x:v>
      </x:c>
      <x:c r="J63" s="10" t="n">
        <x:f>G63*I63</x:f>
        <x:v>735923.2</x:v>
      </x:c>
      <x:c r="K63" s="10" t="n">
        <x:v>448</x:v>
      </x:c>
      <x:c r="L63" s="10" t="n">
        <x:f>J63-(G63*K63)</x:f>
        <x:v>416947.19999999995</x:v>
      </x:c>
      <x:c r="M63" s="11" t="n">
        <x:f>IF(J63=0,0,L63/J63)</x:f>
        <x:v>0.56656346749226</x:v>
      </x:c>
      <x:c r="N63" t="str">
        <x:v>Active</x:v>
      </x:c>
    </x:row>
    <x:row r="64">
      <x:c r="A64" t="str">
        <x:v>FY26 Budget</x:v>
      </x:c>
      <x:c r="B64" s="8" t="str">
        <x:v>2026-05-01</x:v>
      </x:c>
      <x:c r="C64" t="str">
        <x:v>Region A</x:v>
      </x:c>
      <x:c r="D64" t="str">
        <x:v>Buying Group</x:v>
      </x:c>
      <x:c r="E64" t="str">
        <x:v>SVC-PAT-01</x:v>
      </x:c>
      <x:c r="F64" t="str">
        <x:v>Product Mu</x:v>
      </x:c>
      <x:c r="G64" s="9" t="n">
        <x:v>768</x:v>
      </x:c>
      <x:c r="H64" s="10" t="n">
        <x:v>42000</x:v>
      </x:c>
      <x:c r="I64" s="10" t="n">
        <x:v>35070</x:v>
      </x:c>
      <x:c r="J64" s="10" t="n">
        <x:f>G64*I64</x:f>
        <x:v>26933760</x:v>
      </x:c>
      <x:c r="K64" s="10" t="n">
        <x:v>16800</x:v>
      </x:c>
      <x:c r="L64" s="10" t="n">
        <x:f>J64-(G64*K64)</x:f>
        <x:v>14031360</x:v>
      </x:c>
      <x:c r="M64" s="11" t="n">
        <x:f>IF(J64=0,0,L64/J64)</x:f>
        <x:v>0.5209580838323353</x:v>
      </x:c>
      <x:c r="N64" t="str">
        <x:v>Active</x:v>
      </x:c>
    </x:row>
    <x:row r="65">
      <x:c r="A65" t="str">
        <x:v>FY26 Budget</x:v>
      </x:c>
      <x:c r="B65" s="8" t="str">
        <x:v>2026-06-01</x:v>
      </x:c>
      <x:c r="C65" t="str">
        <x:v>Region C</x:v>
      </x:c>
      <x:c r="D65" t="str">
        <x:v>Hospital / Institution</x:v>
      </x:c>
      <x:c r="E65" t="str">
        <x:v>RX-ONC-100</x:v>
      </x:c>
      <x:c r="F65" t="str">
        <x:v>Product Alpha</x:v>
      </x:c>
      <x:c r="G65" s="9" t="n">
        <x:v>166</x:v>
      </x:c>
      <x:c r="H65" s="10" t="n">
        <x:v>1776</x:v>
      </x:c>
      <x:c r="I65" s="10" t="n">
        <x:v>1510.08</x:v>
      </x:c>
      <x:c r="J65" s="10" t="n">
        <x:f>G65*I65</x:f>
        <x:v>250673.28</x:v>
      </x:c>
      <x:c r="K65" s="10" t="n">
        <x:v>555</x:v>
      </x:c>
      <x:c r="L65" s="10" t="n">
        <x:f>J65-(G65*K65)</x:f>
        <x:v>158543.28</x:v>
      </x:c>
      <x:c r="M65" s="11" t="n">
        <x:f>IF(J65=0,0,L65/J65)</x:f>
        <x:v>0.6324698029243484</x:v>
      </x:c>
      <x:c r="N65" t="str">
        <x:v>Active</x:v>
      </x:c>
    </x:row>
    <x:row r="66">
      <x:c r="A66" t="str">
        <x:v>FY26 Budget</x:v>
      </x:c>
      <x:c r="B66" s="8" t="str">
        <x:v>2026-06-01</x:v>
      </x:c>
      <x:c r="C66" t="str">
        <x:v>Region C</x:v>
      </x:c>
      <x:c r="D66" t="str">
        <x:v>Retail / Pharmacy Chain</x:v>
      </x:c>
      <x:c r="E66" t="str">
        <x:v>RX-ONC-500</x:v>
      </x:c>
      <x:c r="F66" t="str">
        <x:v>Product Beta</x:v>
      </x:c>
      <x:c r="G66" s="9" t="n">
        <x:v>229</x:v>
      </x:c>
      <x:c r="H66" s="10" t="n">
        <x:v>6840</x:v>
      </x:c>
      <x:c r="I66" s="10" t="n">
        <x:v>5711.4</x:v>
      </x:c>
      <x:c r="J66" s="10" t="n">
        <x:f>G66*I66</x:f>
        <x:v>1307910.5999999999</x:v>
      </x:c>
      <x:c r="K66" s="10" t="n">
        <x:v>2160</x:v>
      </x:c>
      <x:c r="L66" s="10" t="n">
        <x:f>J66-(G66*K66)</x:f>
        <x:v>813270.5999999999</x:v>
      </x:c>
      <x:c r="M66" s="11" t="n">
        <x:f>IF(J66=0,0,L66/J66)</x:f>
        <x:v>0.6218090135518436</x:v>
      </x:c>
      <x:c r="N66" t="str">
        <x:v>Active</x:v>
      </x:c>
    </x:row>
    <x:row r="67">
      <x:c r="A67" t="str">
        <x:v>FY26 Budget</x:v>
      </x:c>
      <x:c r="B67" s="8" t="str">
        <x:v>2026-06-01</x:v>
      </x:c>
      <x:c r="C67" t="str">
        <x:v>Region A</x:v>
      </x:c>
      <x:c r="D67" t="str">
        <x:v>Buying Group</x:v>
      </x:c>
      <x:c r="E67" t="str">
        <x:v>BIO-RA-200</x:v>
      </x:c>
      <x:c r="F67" t="str">
        <x:v>Product Gamma</x:v>
      </x:c>
      <x:c r="G67" s="9" t="n">
        <x:v>292</x:v>
      </x:c>
      <x:c r="H67" s="10" t="n">
        <x:v>1121</x:v>
      </x:c>
      <x:c r="I67" s="10" t="n">
        <x:v>919.5999999999999</x:v>
      </x:c>
      <x:c r="J67" s="10" t="n">
        <x:f>G67*I67</x:f>
        <x:v>268523.19999999995</x:v>
      </x:c>
      <x:c r="K67" s="10" t="n">
        <x:v>413</x:v>
      </x:c>
      <x:c r="L67" s="10" t="n">
        <x:f>J67-(G67*K67)</x:f>
        <x:v>147927.19999999995</x:v>
      </x:c>
      <x:c r="M67" s="11" t="n">
        <x:f>IF(J67=0,0,L67/J67)</x:f>
        <x:v>0.5508916920400173</x:v>
      </x:c>
      <x:c r="N67" t="str">
        <x:v>Active</x:v>
      </x:c>
    </x:row>
    <x:row r="68">
      <x:c r="A68" t="str">
        <x:v>FY26 Budget</x:v>
      </x:c>
      <x:c r="B68" s="8" t="str">
        <x:v>2026-06-01</x:v>
      </x:c>
      <x:c r="C68" t="str">
        <x:v>Region B</x:v>
      </x:c>
      <x:c r="D68" t="str">
        <x:v>Buying Group</x:v>
      </x:c>
      <x:c r="E68" t="str">
        <x:v>RX-CARD-50</x:v>
      </x:c>
      <x:c r="F68" t="str">
        <x:v>Product Delta</x:v>
      </x:c>
      <x:c r="G68" s="9" t="n">
        <x:v>355</x:v>
      </x:c>
      <x:c r="H68" s="10" t="n">
        <x:v>394.8</x:v>
      </x:c>
      <x:c r="I68" s="10" t="n">
        <x:v>371.3</x:v>
      </x:c>
      <x:c r="J68" s="10" t="n">
        <x:f>G68*I68</x:f>
        <x:v>131811.5</x:v>
      </x:c>
      <x:c r="K68" s="10" t="n">
        <x:v>147</x:v>
      </x:c>
      <x:c r="L68" s="10" t="n">
        <x:f>J68-(G68*K68)</x:f>
        <x:v>79626.5</x:v>
      </x:c>
      <x:c r="M68" s="11" t="n">
        <x:f>IF(J68=0,0,L68/J68)</x:f>
        <x:v>0.6040937247508753</x:v>
      </x:c>
      <x:c r="N68" t="str">
        <x:v>Active</x:v>
      </x:c>
    </x:row>
    <x:row r="69">
      <x:c r="A69" t="str">
        <x:v>FY26 Budget</x:v>
      </x:c>
      <x:c r="B69" s="8" t="str">
        <x:v>2026-06-01</x:v>
      </x:c>
      <x:c r="C69" t="str">
        <x:v>Region C</x:v>
      </x:c>
      <x:c r="D69" t="str">
        <x:v>Distributor</x:v>
      </x:c>
      <x:c r="E69" t="str">
        <x:v>RX-RARE-10</x:v>
      </x:c>
      <x:c r="F69" t="str">
        <x:v>Product Epsilon</x:v>
      </x:c>
      <x:c r="G69" s="9" t="n">
        <x:v>418</x:v>
      </x:c>
      <x:c r="H69" s="10" t="n">
        <x:v>27170</x:v>
      </x:c>
      <x:c r="I69" s="10" t="n">
        <x:v>25132.25</x:v>
      </x:c>
      <x:c r="J69" s="10" t="n">
        <x:f>G69*I69</x:f>
        <x:v>10505280.5</x:v>
      </x:c>
      <x:c r="K69" s="10" t="n">
        <x:v>7150</x:v>
      </x:c>
      <x:c r="L69" s="10" t="n">
        <x:f>J69-(G69*K69)</x:f>
        <x:v>7516580.5</x:v>
      </x:c>
      <x:c r="M69" s="11" t="n">
        <x:f>IF(J69=0,0,L69/J69)</x:f>
        <x:v>0.7155049786628734</x:v>
      </x:c>
      <x:c r="N69" t="str">
        <x:v>Active</x:v>
      </x:c>
    </x:row>
    <x:row r="70">
      <x:c r="A70" t="str">
        <x:v>FY26 Budget</x:v>
      </x:c>
      <x:c r="B70" s="8" t="str">
        <x:v>2026-06-01</x:v>
      </x:c>
      <x:c r="C70" t="str">
        <x:v>Region C</x:v>
      </x:c>
      <x:c r="D70" t="str">
        <x:v>Hospital / Institution</x:v>
      </x:c>
      <x:c r="E70" t="str">
        <x:v>DX-COMP-01</x:v>
      </x:c>
      <x:c r="F70" t="str">
        <x:v>Product Zeta</x:v>
      </x:c>
      <x:c r="G70" s="9" t="n">
        <x:v>481</x:v>
      </x:c>
      <x:c r="H70" s="10" t="n">
        <x:v>902.5</x:v>
      </x:c>
      <x:c r="I70" s="10" t="n">
        <x:v>821.75</x:v>
      </x:c>
      <x:c r="J70" s="10" t="n">
        <x:f>G70*I70</x:f>
        <x:v>395261.75</x:v>
      </x:c>
      <x:c r="K70" s="10" t="n">
        <x:v>333</x:v>
      </x:c>
      <x:c r="L70" s="10" t="n">
        <x:f>J70-(G70*K70)</x:f>
        <x:v>235088.75</x:v>
      </x:c>
      <x:c r="M70" s="11" t="n">
        <x:f>IF(J70=0,0,L70/J70)</x:f>
        <x:v>0.5947672649832674</x:v>
      </x:c>
      <x:c r="N70" t="str">
        <x:v>Active</x:v>
      </x:c>
    </x:row>
    <x:row r="71">
      <x:c r="A71" t="str">
        <x:v>FY26 Budget</x:v>
      </x:c>
      <x:c r="B71" s="8" t="str">
        <x:v>2026-06-01</x:v>
      </x:c>
      <x:c r="C71" t="str">
        <x:v>Region A</x:v>
      </x:c>
      <x:c r="D71" t="str">
        <x:v>Direct Corporate Account</x:v>
      </x:c>
      <x:c r="E71" t="str">
        <x:v>RX-HOSP-20</x:v>
      </x:c>
      <x:c r="F71" t="str">
        <x:v>Product Eta</x:v>
      </x:c>
      <x:c r="G71" s="9" t="n">
        <x:v>544</x:v>
      </x:c>
      <x:c r="H71" s="10" t="n">
        <x:v>1240.8</x:v>
      </x:c>
      <x:c r="I71" s="10" t="n">
        <x:v>1110.1399999999999</x:v>
      </x:c>
      <x:c r="J71" s="10" t="n">
        <x:f>G71*I71</x:f>
        <x:v>603916.1599999999</x:v>
      </x:c>
      <x:c r="K71" s="10" t="n">
        <x:v>462</x:v>
      </x:c>
      <x:c r="L71" s="10" t="n">
        <x:f>J71-(G71*K71)</x:f>
        <x:v>352588.1599999999</x:v>
      </x:c>
      <x:c r="M71" s="11" t="n">
        <x:f>IF(J71=0,0,L71/J71)</x:f>
        <x:v>0.5838362729025167</x:v>
      </x:c>
      <x:c r="N71" t="str">
        <x:v>Active</x:v>
      </x:c>
    </x:row>
    <x:row r="72">
      <x:c r="A72" t="str">
        <x:v>FY26 Budget</x:v>
      </x:c>
      <x:c r="B72" s="8" t="str">
        <x:v>2026-06-01</x:v>
      </x:c>
      <x:c r="C72" t="str">
        <x:v>Region B</x:v>
      </x:c>
      <x:c r="D72" t="str">
        <x:v>Hospital / Institution</x:v>
      </x:c>
      <x:c r="E72" t="str">
        <x:v>BIO-DERM-80</x:v>
      </x:c>
      <x:c r="F72" t="str">
        <x:v>Product Theta</x:v>
      </x:c>
      <x:c r="G72" s="9" t="n">
        <x:v>607</x:v>
      </x:c>
      <x:c r="H72" s="10" t="n">
        <x:v>931</x:v>
      </x:c>
      <x:c r="I72" s="10" t="n">
        <x:v>818.9</x:v>
      </x:c>
      <x:c r="J72" s="10" t="n">
        <x:f>G72*I72</x:f>
        <x:v>497072.3</x:v>
      </x:c>
      <x:c r="K72" s="10" t="n">
        <x:v>343</x:v>
      </x:c>
      <x:c r="L72" s="10" t="n">
        <x:f>J72-(G72*K72)</x:f>
        <x:v>288871.3</x:v>
      </x:c>
      <x:c r="M72" s="11" t="n">
        <x:f>IF(J72=0,0,L72/J72)</x:f>
        <x:v>0.5811454390035413</x:v>
      </x:c>
      <x:c r="N72" t="str">
        <x:v>Active</x:v>
      </x:c>
    </x:row>
    <x:row r="73">
      <x:c r="A73" t="str">
        <x:v>FY26 Budget</x:v>
      </x:c>
      <x:c r="B73" s="8" t="str">
        <x:v>2026-06-01</x:v>
      </x:c>
      <x:c r="C73" t="str">
        <x:v>Region C</x:v>
      </x:c>
      <x:c r="D73" t="str">
        <x:v>Hospital / Institution</x:v>
      </x:c>
      <x:c r="E73" t="str">
        <x:v>RX-ONC-ORAL</x:v>
      </x:c>
      <x:c r="F73" t="str">
        <x:v>Product Iota</x:v>
      </x:c>
      <x:c r="G73" s="9" t="n">
        <x:v>670</x:v>
      </x:c>
      <x:c r="H73" s="10" t="n">
        <x:v>9024</x:v>
      </x:c>
      <x:c r="I73" s="10" t="n">
        <x:v>7805.76</x:v>
      </x:c>
      <x:c r="J73" s="10" t="n">
        <x:f>G73*I73</x:f>
        <x:v>5229859.2</x:v>
      </x:c>
      <x:c r="K73" s="10" t="n">
        <x:v>2820</x:v>
      </x:c>
      <x:c r="L73" s="10" t="n">
        <x:f>J73-(G73*K73)</x:f>
        <x:v>3340459.2</x:v>
      </x:c>
      <x:c r="M73" s="11" t="n">
        <x:f>IF(J73=0,0,L73/J73)</x:f>
        <x:v>0.638728323699422</x:v>
      </x:c>
      <x:c r="N73" t="str">
        <x:v>Active</x:v>
      </x:c>
    </x:row>
    <x:row r="74">
      <x:c r="A74" t="str">
        <x:v>FY26 Budget</x:v>
      </x:c>
      <x:c r="B74" s="8" t="str">
        <x:v>2026-06-01</x:v>
      </x:c>
      <x:c r="C74" t="str">
        <x:v>Region C</x:v>
      </x:c>
      <x:c r="D74" t="str">
        <x:v>Retail / Pharmacy Chain</x:v>
      </x:c>
      <x:c r="E74" t="str">
        <x:v>RX-RARE-INF</x:v>
      </x:c>
      <x:c r="F74" t="str">
        <x:v>Product Kappa</x:v>
      </x:c>
      <x:c r="G74" s="9" t="n">
        <x:v>733</x:v>
      </x:c>
      <x:c r="H74" s="10" t="n">
        <x:v>33060</x:v>
      </x:c>
      <x:c r="I74" s="10" t="n">
        <x:v>28101</x:v>
      </x:c>
      <x:c r="J74" s="10" t="n">
        <x:f>G74*I74</x:f>
        <x:v>20598033</x:v>
      </x:c>
      <x:c r="K74" s="10" t="n">
        <x:v>8700</x:v>
      </x:c>
      <x:c r="L74" s="10" t="n">
        <x:f>J74-(G74*K74)</x:f>
        <x:v>14220933</x:v>
      </x:c>
      <x:c r="M74" s="11" t="n">
        <x:f>IF(J74=0,0,L74/J74)</x:f>
        <x:v>0.6904024767801857</x:v>
      </x:c>
      <x:c r="N74" t="str">
        <x:v>Active</x:v>
      </x:c>
    </x:row>
    <x:row r="75">
      <x:c r="A75" t="str">
        <x:v>FY26 Budget</x:v>
      </x:c>
      <x:c r="B75" s="8" t="str">
        <x:v>2026-06-01</x:v>
      </x:c>
      <x:c r="C75" t="str">
        <x:v>Region A</x:v>
      </x:c>
      <x:c r="D75" t="str">
        <x:v>Buying Group</x:v>
      </x:c>
      <x:c r="E75" t="str">
        <x:v>DX-GENE-02</x:v>
      </x:c>
      <x:c r="F75" t="str">
        <x:v>Product Lambda</x:v>
      </x:c>
      <x:c r="G75" s="9" t="n">
        <x:v>796</x:v>
      </x:c>
      <x:c r="H75" s="10" t="n">
        <x:v>1216</x:v>
      </x:c>
      <x:c r="I75" s="10" t="n">
        <x:v>1015.5500000000001</x:v>
      </x:c>
      <x:c r="J75" s="10" t="n">
        <x:f>G75*I75</x:f>
        <x:v>808377.8</x:v>
      </x:c>
      <x:c r="K75" s="10" t="n">
        <x:v>448</x:v>
      </x:c>
      <x:c r="L75" s="10" t="n">
        <x:f>J75-(G75*K75)</x:f>
        <x:v>451769.80000000005</x:v>
      </x:c>
      <x:c r="M75" s="11" t="n">
        <x:f>IF(J75=0,0,L75/J75)</x:f>
        <x:v>0.5588597311801488</x:v>
      </x:c>
      <x:c r="N75" t="str">
        <x:v>Active</x:v>
      </x:c>
    </x:row>
    <x:row r="76">
      <x:c r="A76" t="str">
        <x:v>FY26 Budget</x:v>
      </x:c>
      <x:c r="B76" s="8" t="str">
        <x:v>2026-06-01</x:v>
      </x:c>
      <x:c r="C76" t="str">
        <x:v>Region B</x:v>
      </x:c>
      <x:c r="D76" t="str">
        <x:v>Buying Group</x:v>
      </x:c>
      <x:c r="E76" t="str">
        <x:v>SVC-PAT-01</x:v>
      </x:c>
      <x:c r="F76" t="str">
        <x:v>Product Mu</x:v>
      </x:c>
      <x:c r="G76" s="9" t="n">
        <x:v>859</x:v>
      </x:c>
      <x:c r="H76" s="10" t="n">
        <x:v>42000</x:v>
      </x:c>
      <x:c r="I76" s="10" t="n">
        <x:v>34440</x:v>
      </x:c>
      <x:c r="J76" s="10" t="n">
        <x:f>G76*I76</x:f>
        <x:v>29583960</x:v>
      </x:c>
      <x:c r="K76" s="10" t="n">
        <x:v>16800</x:v>
      </x:c>
      <x:c r="L76" s="10" t="n">
        <x:f>J76-(G76*K76)</x:f>
        <x:v>15152760</x:v>
      </x:c>
      <x:c r="M76" s="11" t="n">
        <x:f>IF(J76=0,0,L76/J76)</x:f>
        <x:v>0.5121951219512195</x:v>
      </x:c>
      <x:c r="N76" t="str">
        <x:v>Active</x:v>
      </x:c>
    </x:row>
    <x:row r="77">
      <x:c r="A77" t="str">
        <x:v>FY26 Mid-Year Update</x:v>
      </x:c>
      <x:c r="B77" s="8" t="str">
        <x:v>2026-07-01</x:v>
      </x:c>
      <x:c r="C77" t="str">
        <x:v>Region C</x:v>
      </x:c>
      <x:c r="D77" t="str">
        <x:v>Retail / Pharmacy Chain</x:v>
      </x:c>
      <x:c r="E77" t="str">
        <x:v>RX-ONC-100</x:v>
      </x:c>
      <x:c r="F77" t="str">
        <x:v>Product Alpha</x:v>
      </x:c>
      <x:c r="G77" s="9" t="n">
        <x:v>180</x:v>
      </x:c>
      <x:c r="H77" s="10" t="n">
        <x:v>1776</x:v>
      </x:c>
      <x:c r="I77" s="10" t="n">
        <x:v>1483.2</x:v>
      </x:c>
      <x:c r="J77" s="10" t="n">
        <x:f>G77*I77</x:f>
        <x:v>266976</x:v>
      </x:c>
      <x:c r="K77" s="10" t="n">
        <x:v>555</x:v>
      </x:c>
      <x:c r="L77" s="10" t="n">
        <x:f>J77-(G77*K77)</x:f>
        <x:v>167076</x:v>
      </x:c>
      <x:c r="M77" s="11" t="n">
        <x:f>IF(J77=0,0,L77/J77)</x:f>
        <x:v>0.6258090614886731</x:v>
      </x:c>
      <x:c r="N77" t="str">
        <x:v>Active</x:v>
      </x:c>
    </x:row>
    <x:row r="78">
      <x:c r="A78" t="str">
        <x:v>FY26 Mid-Year Update</x:v>
      </x:c>
      <x:c r="B78" s="8" t="str">
        <x:v>2026-07-01</x:v>
      </x:c>
      <x:c r="C78" t="str">
        <x:v>Region A</x:v>
      </x:c>
      <x:c r="D78" t="str">
        <x:v>Buying Group</x:v>
      </x:c>
      <x:c r="E78" t="str">
        <x:v>RX-ONC-500</x:v>
      </x:c>
      <x:c r="F78" t="str">
        <x:v>Product Beta</x:v>
      </x:c>
      <x:c r="G78" s="9" t="n">
        <x:v>250</x:v>
      </x:c>
      <x:c r="H78" s="10" t="n">
        <x:v>6840</x:v>
      </x:c>
      <x:c r="I78" s="10" t="n">
        <x:v>5608.799999999999</x:v>
      </x:c>
      <x:c r="J78" s="10" t="n">
        <x:f>G78*I78</x:f>
        <x:v>1402199.9999999998</x:v>
      </x:c>
      <x:c r="K78" s="10" t="n">
        <x:v>2160</x:v>
      </x:c>
      <x:c r="L78" s="10" t="n">
        <x:f>J78-(G78*K78)</x:f>
        <x:v>862199.9999999998</x:v>
      </x:c>
      <x:c r="M78" s="11" t="n">
        <x:f>IF(J78=0,0,L78/J78)</x:f>
        <x:v>0.6148908857509627</x:v>
      </x:c>
      <x:c r="N78" t="str">
        <x:v>Active</x:v>
      </x:c>
    </x:row>
    <x:row r="79">
      <x:c r="A79" t="str">
        <x:v>FY26 Mid-Year Update</x:v>
      </x:c>
      <x:c r="B79" s="8" t="str">
        <x:v>2026-07-01</x:v>
      </x:c>
      <x:c r="C79" t="str">
        <x:v>Region B</x:v>
      </x:c>
      <x:c r="D79" t="str">
        <x:v>Buying Group</x:v>
      </x:c>
      <x:c r="E79" t="str">
        <x:v>BIO-RA-200</x:v>
      </x:c>
      <x:c r="F79" t="str">
        <x:v>Product Gamma</x:v>
      </x:c>
      <x:c r="G79" s="9" t="n">
        <x:v>320</x:v>
      </x:c>
      <x:c r="H79" s="10" t="n">
        <x:v>1121</x:v>
      </x:c>
      <x:c r="I79" s="10" t="n">
        <x:v>1053.55</x:v>
      </x:c>
      <x:c r="J79" s="10" t="n">
        <x:f>G79*I79</x:f>
        <x:v>337136</x:v>
      </x:c>
      <x:c r="K79" s="10" t="n">
        <x:v>413</x:v>
      </x:c>
      <x:c r="L79" s="10" t="n">
        <x:f>J79-(G79*K79)</x:f>
        <x:v>204976</x:v>
      </x:c>
      <x:c r="M79" s="11" t="n">
        <x:f>IF(J79=0,0,L79/J79)</x:f>
        <x:v>0.6079920269564805</x:v>
      </x:c>
      <x:c r="N79" t="str">
        <x:v>Active</x:v>
      </x:c>
    </x:row>
    <x:row r="80">
      <x:c r="A80" t="str">
        <x:v>FY26 Mid-Year Update</x:v>
      </x:c>
      <x:c r="B80" s="8" t="str">
        <x:v>2026-07-01</x:v>
      </x:c>
      <x:c r="C80" t="str">
        <x:v>Region C</x:v>
      </x:c>
      <x:c r="D80" t="str">
        <x:v>Distributor</x:v>
      </x:c>
      <x:c r="E80" t="str">
        <x:v>RX-CARD-50</x:v>
      </x:c>
      <x:c r="F80" t="str">
        <x:v>Product Delta</x:v>
      </x:c>
      <x:c r="G80" s="9" t="n">
        <x:v>390</x:v>
      </x:c>
      <x:c r="H80" s="10" t="n">
        <x:v>394.8</x:v>
      </x:c>
      <x:c r="I80" s="10" t="n">
        <x:v>365.66</x:v>
      </x:c>
      <x:c r="J80" s="10" t="n">
        <x:f>G80*I80</x:f>
        <x:v>142607.40000000002</x:v>
      </x:c>
      <x:c r="K80" s="10" t="n">
        <x:v>147</x:v>
      </x:c>
      <x:c r="L80" s="10" t="n">
        <x:f>J80-(G80*K80)</x:f>
        <x:v>85277.40000000002</x:v>
      </x:c>
      <x:c r="M80" s="11" t="n">
        <x:f>IF(J80=0,0,L80/J80)</x:f>
        <x:v>0.5979872012251819</x:v>
      </x:c>
      <x:c r="N80" t="str">
        <x:v>Active</x:v>
      </x:c>
    </x:row>
    <x:row r="81">
      <x:c r="A81" t="str">
        <x:v>FY26 Mid-Year Update</x:v>
      </x:c>
      <x:c r="B81" s="8" t="str">
        <x:v>2026-07-01</x:v>
      </x:c>
      <x:c r="C81" t="str">
        <x:v>Region C</x:v>
      </x:c>
      <x:c r="D81" t="str">
        <x:v>Hospital / Institution</x:v>
      </x:c>
      <x:c r="E81" t="str">
        <x:v>RX-RARE-10</x:v>
      </x:c>
      <x:c r="F81" t="str">
        <x:v>Product Epsilon</x:v>
      </x:c>
      <x:c r="G81" s="9" t="n">
        <x:v>460</x:v>
      </x:c>
      <x:c r="H81" s="10" t="n">
        <x:v>27170</x:v>
      </x:c>
      <x:c r="I81" s="10" t="n">
        <x:v>24724.7</x:v>
      </x:c>
      <x:c r="J81" s="10" t="n">
        <x:f>G81*I81</x:f>
        <x:v>11373362</x:v>
      </x:c>
      <x:c r="K81" s="10" t="n">
        <x:v>7150</x:v>
      </x:c>
      <x:c r="L81" s="10" t="n">
        <x:f>J81-(G81*K81)</x:f>
        <x:v>8084362</x:v>
      </x:c>
      <x:c r="M81" s="11" t="n">
        <x:f>IF(J81=0,0,L81/J81)</x:f>
        <x:v>0.7108155002891845</x:v>
      </x:c>
      <x:c r="N81" t="str">
        <x:v>Active</x:v>
      </x:c>
    </x:row>
    <x:row r="82">
      <x:c r="A82" t="str">
        <x:v>FY26 Mid-Year Update</x:v>
      </x:c>
      <x:c r="B82" s="8" t="str">
        <x:v>2026-07-01</x:v>
      </x:c>
      <x:c r="C82" t="str">
        <x:v>Region A</x:v>
      </x:c>
      <x:c r="D82" t="str">
        <x:v>Direct Corporate Account</x:v>
      </x:c>
      <x:c r="E82" t="str">
        <x:v>DX-COMP-01</x:v>
      </x:c>
      <x:c r="F82" t="str">
        <x:v>Product Zeta</x:v>
      </x:c>
      <x:c r="G82" s="9" t="n">
        <x:v>530</x:v>
      </x:c>
      <x:c r="H82" s="10" t="n">
        <x:v>902.5</x:v>
      </x:c>
      <x:c r="I82" s="10" t="n">
        <x:v>807.5</x:v>
      </x:c>
      <x:c r="J82" s="10" t="n">
        <x:f>G82*I82</x:f>
        <x:v>427975</x:v>
      </x:c>
      <x:c r="K82" s="10" t="n">
        <x:v>333</x:v>
      </x:c>
      <x:c r="L82" s="10" t="n">
        <x:f>J82-(G82*K82)</x:f>
        <x:v>251485</x:v>
      </x:c>
      <x:c r="M82" s="11" t="n">
        <x:f>IF(J82=0,0,L82/J82)</x:f>
        <x:v>0.5876160990712074</x:v>
      </x:c>
      <x:c r="N82" t="str">
        <x:v>Active</x:v>
      </x:c>
    </x:row>
    <x:row r="83">
      <x:c r="A83" t="str">
        <x:v>FY26 Mid-Year Update</x:v>
      </x:c>
      <x:c r="B83" s="8" t="str">
        <x:v>2026-07-01</x:v>
      </x:c>
      <x:c r="C83" t="str">
        <x:v>Region B</x:v>
      </x:c>
      <x:c r="D83" t="str">
        <x:v>Hospital / Institution</x:v>
      </x:c>
      <x:c r="E83" t="str">
        <x:v>RX-HOSP-20</x:v>
      </x:c>
      <x:c r="F83" t="str">
        <x:v>Product Eta</x:v>
      </x:c>
      <x:c r="G83" s="9" t="n">
        <x:v>600</x:v>
      </x:c>
      <x:c r="H83" s="10" t="n">
        <x:v>1240.8</x:v>
      </x:c>
      <x:c r="I83" s="10" t="n">
        <x:v>1092.28</x:v>
      </x:c>
      <x:c r="J83" s="10" t="n">
        <x:f>G83*I83</x:f>
        <x:v>655368</x:v>
      </x:c>
      <x:c r="K83" s="10" t="n">
        <x:v>462</x:v>
      </x:c>
      <x:c r="L83" s="10" t="n">
        <x:f>J83-(G83*K83)</x:f>
        <x:v>378168</x:v>
      </x:c>
      <x:c r="M83" s="11" t="n">
        <x:f>IF(J83=0,0,L83/J83)</x:f>
        <x:v>0.5770315303768264</x:v>
      </x:c>
      <x:c r="N83" t="str">
        <x:v>Active</x:v>
      </x:c>
    </x:row>
    <x:row r="84">
      <x:c r="A84" t="str">
        <x:v>FY26 Mid-Year Update</x:v>
      </x:c>
      <x:c r="B84" s="8" t="str">
        <x:v>2026-07-01</x:v>
      </x:c>
      <x:c r="C84" t="str">
        <x:v>Region C</x:v>
      </x:c>
      <x:c r="D84" t="str">
        <x:v>Hospital / Institution</x:v>
      </x:c>
      <x:c r="E84" t="str">
        <x:v>BIO-DERM-80</x:v>
      </x:c>
      <x:c r="F84" t="str">
        <x:v>Product Theta</x:v>
      </x:c>
      <x:c r="G84" s="9" t="n">
        <x:v>670</x:v>
      </x:c>
      <x:c r="H84" s="10" t="n">
        <x:v>931</x:v>
      </x:c>
      <x:c r="I84" s="10" t="n">
        <x:v>805.6</x:v>
      </x:c>
      <x:c r="J84" s="10" t="n">
        <x:f>G84*I84</x:f>
        <x:v>539752</x:v>
      </x:c>
      <x:c r="K84" s="10" t="n">
        <x:v>343</x:v>
      </x:c>
      <x:c r="L84" s="10" t="n">
        <x:f>J84-(G84*K84)</x:f>
        <x:v>309942</x:v>
      </x:c>
      <x:c r="M84" s="11" t="n">
        <x:f>IF(J84=0,0,L84/J84)</x:f>
        <x:v>0.5742303872889771</x:v>
      </x:c>
      <x:c r="N84" t="str">
        <x:v>Active</x:v>
      </x:c>
    </x:row>
    <x:row r="85">
      <x:c r="A85" t="str">
        <x:v>FY26 Mid-Year Update</x:v>
      </x:c>
      <x:c r="B85" s="8" t="str">
        <x:v>2026-07-01</x:v>
      </x:c>
      <x:c r="C85" t="str">
        <x:v>Region C</x:v>
      </x:c>
      <x:c r="D85" t="str">
        <x:v>Retail / Pharmacy Chain</x:v>
      </x:c>
      <x:c r="E85" t="str">
        <x:v>RX-ONC-ORAL</x:v>
      </x:c>
      <x:c r="F85" t="str">
        <x:v>Product Iota</x:v>
      </x:c>
      <x:c r="G85" s="9" t="n">
        <x:v>740</x:v>
      </x:c>
      <x:c r="H85" s="10" t="n">
        <x:v>9024</x:v>
      </x:c>
      <x:c r="I85" s="10" t="n">
        <x:v>7670.4</x:v>
      </x:c>
      <x:c r="J85" s="10" t="n">
        <x:f>G85*I85</x:f>
        <x:v>5676096</x:v>
      </x:c>
      <x:c r="K85" s="10" t="n">
        <x:v>2820</x:v>
      </x:c>
      <x:c r="L85" s="10" t="n">
        <x:f>J85-(G85*K85)</x:f>
        <x:v>3589296</x:v>
      </x:c>
      <x:c r="M85" s="11" t="n">
        <x:f>IF(J85=0,0,L85/J85)</x:f>
        <x:v>0.6323529411764706</x:v>
      </x:c>
      <x:c r="N85" t="str">
        <x:v>Active</x:v>
      </x:c>
    </x:row>
    <x:row r="86">
      <x:c r="A86" t="str">
        <x:v>FY26 Mid-Year Update</x:v>
      </x:c>
      <x:c r="B86" s="8" t="str">
        <x:v>2026-07-01</x:v>
      </x:c>
      <x:c r="C86" t="str">
        <x:v>Region A</x:v>
      </x:c>
      <x:c r="D86" t="str">
        <x:v>Buying Group</x:v>
      </x:c>
      <x:c r="E86" t="str">
        <x:v>RX-RARE-INF</x:v>
      </x:c>
      <x:c r="F86" t="str">
        <x:v>Product Kappa</x:v>
      </x:c>
      <x:c r="G86" s="9" t="n">
        <x:v>810</x:v>
      </x:c>
      <x:c r="H86" s="10" t="n">
        <x:v>33060</x:v>
      </x:c>
      <x:c r="I86" s="10" t="n">
        <x:v>27605.1</x:v>
      </x:c>
      <x:c r="J86" s="10" t="n">
        <x:f>G86*I86</x:f>
        <x:v>22360131</x:v>
      </x:c>
      <x:c r="K86" s="10" t="n">
        <x:v>8700</x:v>
      </x:c>
      <x:c r="L86" s="10" t="n">
        <x:f>J86-(G86*K86)</x:f>
        <x:v>15313131</x:v>
      </x:c>
      <x:c r="M86" s="11" t="n">
        <x:f>IF(J86=0,0,L86/J86)</x:f>
        <x:v>0.6848408446265364</x:v>
      </x:c>
      <x:c r="N86" t="str">
        <x:v>Active</x:v>
      </x:c>
    </x:row>
    <x:row r="87">
      <x:c r="A87" t="str">
        <x:v>FY26 Mid-Year Update</x:v>
      </x:c>
      <x:c r="B87" s="8" t="str">
        <x:v>2026-07-01</x:v>
      </x:c>
      <x:c r="C87" t="str">
        <x:v>Region B</x:v>
      </x:c>
      <x:c r="D87" t="str">
        <x:v>Buying Group</x:v>
      </x:c>
      <x:c r="E87" t="str">
        <x:v>DX-GENE-02</x:v>
      </x:c>
      <x:c r="F87" t="str">
        <x:v>Product Lambda</x:v>
      </x:c>
      <x:c r="G87" s="9" t="n">
        <x:v>880</x:v>
      </x:c>
      <x:c r="H87" s="10" t="n">
        <x:v>1216</x:v>
      </x:c>
      <x:c r="I87" s="10" t="n">
        <x:v>997.5</x:v>
      </x:c>
      <x:c r="J87" s="10" t="n">
        <x:f>G87*I87</x:f>
        <x:v>877800</x:v>
      </x:c>
      <x:c r="K87" s="10" t="n">
        <x:v>448</x:v>
      </x:c>
      <x:c r="L87" s="10" t="n">
        <x:f>J87-(G87*K87)</x:f>
        <x:v>483560</x:v>
      </x:c>
      <x:c r="M87" s="11" t="n">
        <x:f>IF(J87=0,0,L87/J87)</x:f>
        <x:v>0.5508771929824562</x:v>
      </x:c>
      <x:c r="N87" t="str">
        <x:v>Active</x:v>
      </x:c>
    </x:row>
    <x:row r="88">
      <x:c r="A88" t="str">
        <x:v>FY26 Mid-Year Update</x:v>
      </x:c>
      <x:c r="B88" s="8" t="str">
        <x:v>2026-07-01</x:v>
      </x:c>
      <x:c r="C88" t="str">
        <x:v>Region C</x:v>
      </x:c>
      <x:c r="D88" t="str">
        <x:v>Distributor</x:v>
      </x:c>
      <x:c r="E88" t="str">
        <x:v>SVC-PAT-01</x:v>
      </x:c>
      <x:c r="F88" t="str">
        <x:v>Product Mu</x:v>
      </x:c>
      <x:c r="G88" s="9" t="n">
        <x:v>950</x:v>
      </x:c>
      <x:c r="H88" s="10" t="n">
        <x:v>42000</x:v>
      </x:c>
      <x:c r="I88" s="10" t="n">
        <x:v>39480</x:v>
      </x:c>
      <x:c r="J88" s="10" t="n">
        <x:f>G88*I88</x:f>
        <x:v>37506000</x:v>
      </x:c>
      <x:c r="K88" s="10" t="n">
        <x:v>16800</x:v>
      </x:c>
      <x:c r="L88" s="10" t="n">
        <x:f>J88-(G88*K88)</x:f>
        <x:v>21546000</x:v>
      </x:c>
      <x:c r="M88" s="11" t="n">
        <x:f>IF(J88=0,0,L88/J88)</x:f>
        <x:v>0.574468085106383</x:v>
      </x:c>
      <x:c r="N88" t="str">
        <x:v>Active</x:v>
      </x:c>
    </x:row>
    <x:row r="89">
      <x:c r="A89" t="str">
        <x:v>FY26 Mid-Year Update</x:v>
      </x:c>
      <x:c r="B89" s="8" t="str">
        <x:v>2026-08-01</x:v>
      </x:c>
      <x:c r="C89" t="str">
        <x:v>Region A</x:v>
      </x:c>
      <x:c r="D89" t="str">
        <x:v>Buying Group</x:v>
      </x:c>
      <x:c r="E89" t="str">
        <x:v>RX-ONC-100</x:v>
      </x:c>
      <x:c r="F89" t="str">
        <x:v>Product Alpha</x:v>
      </x:c>
      <x:c r="G89" s="9" t="n">
        <x:v>194</x:v>
      </x:c>
      <x:c r="H89" s="10" t="n">
        <x:v>1776</x:v>
      </x:c>
      <x:c r="I89" s="10" t="n">
        <x:v>1456.32</x:v>
      </x:c>
      <x:c r="J89" s="10" t="n">
        <x:f>G89*I89</x:f>
        <x:v>282526.08</x:v>
      </x:c>
      <x:c r="K89" s="10" t="n">
        <x:v>555</x:v>
      </x:c>
      <x:c r="L89" s="10" t="n">
        <x:f>J89-(G89*K89)</x:f>
        <x:v>174856.08000000002</x:v>
      </x:c>
      <x:c r="M89" s="11" t="n">
        <x:f>IF(J89=0,0,L89/J89)</x:f>
        <x:v>0.6189024390243902</x:v>
      </x:c>
      <x:c r="N89" t="str">
        <x:v>Active</x:v>
      </x:c>
    </x:row>
    <x:row r="90">
      <x:c r="A90" t="str">
        <x:v>FY26 Mid-Year Update</x:v>
      </x:c>
      <x:c r="B90" s="8" t="str">
        <x:v>2026-08-01</x:v>
      </x:c>
      <x:c r="C90" t="str">
        <x:v>Region B</x:v>
      </x:c>
      <x:c r="D90" t="str">
        <x:v>Buying Group</x:v>
      </x:c>
      <x:c r="E90" t="str">
        <x:v>RX-ONC-500</x:v>
      </x:c>
      <x:c r="F90" t="str">
        <x:v>Product Beta</x:v>
      </x:c>
      <x:c r="G90" s="9" t="n">
        <x:v>271</x:v>
      </x:c>
      <x:c r="H90" s="10" t="n">
        <x:v>6840</x:v>
      </x:c>
      <x:c r="I90" s="10" t="n">
        <x:v>6429.599999999999</x:v>
      </x:c>
      <x:c r="J90" s="10" t="n">
        <x:f>G90*I90</x:f>
        <x:v>1742421.5999999999</x:v>
      </x:c>
      <x:c r="K90" s="10" t="n">
        <x:v>2160</x:v>
      </x:c>
      <x:c r="L90" s="10" t="n">
        <x:f>J90-(G90*K90)</x:f>
        <x:v>1157061.5999999999</x:v>
      </x:c>
      <x:c r="M90" s="11" t="n">
        <x:f>IF(J90=0,0,L90/J90)</x:f>
        <x:v>0.664053751399776</x:v>
      </x:c>
      <x:c r="N90" t="str">
        <x:v>Active</x:v>
      </x:c>
    </x:row>
    <x:row r="91">
      <x:c r="A91" t="str">
        <x:v>FY26 Mid-Year Update</x:v>
      </x:c>
      <x:c r="B91" s="8" t="str">
        <x:v>2026-08-01</x:v>
      </x:c>
      <x:c r="C91" t="str">
        <x:v>Region C</x:v>
      </x:c>
      <x:c r="D91" t="str">
        <x:v>Distributor</x:v>
      </x:c>
      <x:c r="E91" t="str">
        <x:v>BIO-RA-200</x:v>
      </x:c>
      <x:c r="F91" t="str">
        <x:v>Product Gamma</x:v>
      </x:c>
      <x:c r="G91" s="9" t="n">
        <x:v>348</x:v>
      </x:c>
      <x:c r="H91" s="10" t="n">
        <x:v>1121</x:v>
      </x:c>
      <x:c r="I91" s="10" t="n">
        <x:v>1037.3999999999999</x:v>
      </x:c>
      <x:c r="J91" s="10" t="n">
        <x:f>G91*I91</x:f>
        <x:v>361015.19999999995</x:v>
      </x:c>
      <x:c r="K91" s="10" t="n">
        <x:v>413</x:v>
      </x:c>
      <x:c r="L91" s="10" t="n">
        <x:f>J91-(G91*K91)</x:f>
        <x:v>217291.19999999995</x:v>
      </x:c>
      <x:c r="M91" s="11" t="n">
        <x:f>IF(J91=0,0,L91/J91)</x:f>
        <x:v>0.6018893387314439</x:v>
      </x:c>
      <x:c r="N91" t="str">
        <x:v>Active</x:v>
      </x:c>
    </x:row>
    <x:row r="92">
      <x:c r="A92" t="str">
        <x:v>FY26 Mid-Year Update</x:v>
      </x:c>
      <x:c r="B92" s="8" t="str">
        <x:v>2026-08-01</x:v>
      </x:c>
      <x:c r="C92" t="str">
        <x:v>Region C</x:v>
      </x:c>
      <x:c r="D92" t="str">
        <x:v>Hospital / Institution</x:v>
      </x:c>
      <x:c r="E92" t="str">
        <x:v>RX-CARD-50</x:v>
      </x:c>
      <x:c r="F92" t="str">
        <x:v>Product Delta</x:v>
      </x:c>
      <x:c r="G92" s="9" t="n">
        <x:v>425</x:v>
      </x:c>
      <x:c r="H92" s="10" t="n">
        <x:v>394.8</x:v>
      </x:c>
      <x:c r="I92" s="10" t="n">
        <x:v>359.08</x:v>
      </x:c>
      <x:c r="J92" s="10" t="n">
        <x:f>G92*I92</x:f>
        <x:v>152609</x:v>
      </x:c>
      <x:c r="K92" s="10" t="n">
        <x:v>147</x:v>
      </x:c>
      <x:c r="L92" s="10" t="n">
        <x:f>J92-(G92*K92)</x:f>
        <x:v>90134</x:v>
      </x:c>
      <x:c r="M92" s="11" t="n">
        <x:f>IF(J92=0,0,L92/J92)</x:f>
        <x:v>0.5906204745460621</x:v>
      </x:c>
      <x:c r="N92" t="str">
        <x:v>Active</x:v>
      </x:c>
    </x:row>
    <x:row r="93">
      <x:c r="A93" t="str">
        <x:v>FY26 Mid-Year Update</x:v>
      </x:c>
      <x:c r="B93" s="8" t="str">
        <x:v>2026-08-01</x:v>
      </x:c>
      <x:c r="C93" t="str">
        <x:v>Region A</x:v>
      </x:c>
      <x:c r="D93" t="str">
        <x:v>Direct Corporate Account</x:v>
      </x:c>
      <x:c r="E93" t="str">
        <x:v>RX-RARE-10</x:v>
      </x:c>
      <x:c r="F93" t="str">
        <x:v>Product Epsilon</x:v>
      </x:c>
      <x:c r="G93" s="9" t="n">
        <x:v>502</x:v>
      </x:c>
      <x:c r="H93" s="10" t="n">
        <x:v>27170</x:v>
      </x:c>
      <x:c r="I93" s="10" t="n">
        <x:v>24317.15</x:v>
      </x:c>
      <x:c r="J93" s="10" t="n">
        <x:f>G93*I93</x:f>
        <x:v>12207209.3</x:v>
      </x:c>
      <x:c r="K93" s="10" t="n">
        <x:v>7150</x:v>
      </x:c>
      <x:c r="L93" s="10" t="n">
        <x:f>J93-(G93*K93)</x:f>
        <x:v>8617909.3</x:v>
      </x:c>
      <x:c r="M93" s="11" t="n">
        <x:f>IF(J93=0,0,L93/J93)</x:f>
        <x:v>0.7059688326962659</x:v>
      </x:c>
      <x:c r="N93" t="str">
        <x:v>Active</x:v>
      </x:c>
    </x:row>
    <x:row r="94">
      <x:c r="A94" t="str">
        <x:v>FY26 Mid-Year Update</x:v>
      </x:c>
      <x:c r="B94" s="8" t="str">
        <x:v>2026-08-01</x:v>
      </x:c>
      <x:c r="C94" t="str">
        <x:v>Region B</x:v>
      </x:c>
      <x:c r="D94" t="str">
        <x:v>Hospital / Institution</x:v>
      </x:c>
      <x:c r="E94" t="str">
        <x:v>DX-COMP-01</x:v>
      </x:c>
      <x:c r="F94" t="str">
        <x:v>Product Zeta</x:v>
      </x:c>
      <x:c r="G94" s="9" t="n">
        <x:v>579</x:v>
      </x:c>
      <x:c r="H94" s="10" t="n">
        <x:v>902.5</x:v>
      </x:c>
      <x:c r="I94" s="10" t="n">
        <x:v>794.2</x:v>
      </x:c>
      <x:c r="J94" s="10" t="n">
        <x:f>G94*I94</x:f>
        <x:v>459841.80000000005</x:v>
      </x:c>
      <x:c r="K94" s="10" t="n">
        <x:v>333</x:v>
      </x:c>
      <x:c r="L94" s="10" t="n">
        <x:f>J94-(G94*K94)</x:f>
        <x:v>267034.80000000005</x:v>
      </x:c>
      <x:c r="M94" s="11" t="n">
        <x:f>IF(J94=0,0,L94/J94)</x:f>
        <x:v>0.5807101485771846</x:v>
      </x:c>
      <x:c r="N94" t="str">
        <x:v>Active</x:v>
      </x:c>
    </x:row>
    <x:row r="95">
      <x:c r="A95" t="str">
        <x:v>FY26 Mid-Year Update</x:v>
      </x:c>
      <x:c r="B95" s="8" t="str">
        <x:v>2026-08-01</x:v>
      </x:c>
      <x:c r="C95" t="str">
        <x:v>Region C</x:v>
      </x:c>
      <x:c r="D95" t="str">
        <x:v>Hospital / Institution</x:v>
      </x:c>
      <x:c r="E95" t="str">
        <x:v>RX-HOSP-20</x:v>
      </x:c>
      <x:c r="F95" t="str">
        <x:v>Product Eta</x:v>
      </x:c>
      <x:c r="G95" s="9" t="n">
        <x:v>656</x:v>
      </x:c>
      <x:c r="H95" s="10" t="n">
        <x:v>1240.8</x:v>
      </x:c>
      <x:c r="I95" s="10" t="n">
        <x:v>1073.48</x:v>
      </x:c>
      <x:c r="J95" s="10" t="n">
        <x:f>G95*I95</x:f>
        <x:v>704202.88</x:v>
      </x:c>
      <x:c r="K95" s="10" t="n">
        <x:v>462</x:v>
      </x:c>
      <x:c r="L95" s="10" t="n">
        <x:f>J95-(G95*K95)</x:f>
        <x:v>401130.88</x:v>
      </x:c>
      <x:c r="M95" s="11" t="n">
        <x:f>IF(J95=0,0,L95/J95)</x:f>
        <x:v>0.5696240265305362</x:v>
      </x:c>
      <x:c r="N95" t="str">
        <x:v>Active</x:v>
      </x:c>
    </x:row>
    <x:row r="96">
      <x:c r="A96" t="str">
        <x:v>FY26 Mid-Year Update</x:v>
      </x:c>
      <x:c r="B96" s="8" t="str">
        <x:v>2026-08-01</x:v>
      </x:c>
      <x:c r="C96" t="str">
        <x:v>Region C</x:v>
      </x:c>
      <x:c r="D96" t="str">
        <x:v>Retail / Pharmacy Chain</x:v>
      </x:c>
      <x:c r="E96" t="str">
        <x:v>BIO-DERM-80</x:v>
      </x:c>
      <x:c r="F96" t="str">
        <x:v>Product Theta</x:v>
      </x:c>
      <x:c r="G96" s="9" t="n">
        <x:v>733</x:v>
      </x:c>
      <x:c r="H96" s="10" t="n">
        <x:v>931</x:v>
      </x:c>
      <x:c r="I96" s="10" t="n">
        <x:v>791.35</x:v>
      </x:c>
      <x:c r="J96" s="10" t="n">
        <x:f>G96*I96</x:f>
        <x:v>580059.55</x:v>
      </x:c>
      <x:c r="K96" s="10" t="n">
        <x:v>343</x:v>
      </x:c>
      <x:c r="L96" s="10" t="n">
        <x:f>J96-(G96*K96)</x:f>
        <x:v>328640.55000000005</x:v>
      </x:c>
      <x:c r="M96" s="11" t="n">
        <x:f>IF(J96=0,0,L96/J96)</x:f>
        <x:v>0.56656346749226</x:v>
      </x:c>
      <x:c r="N96" t="str">
        <x:v>Active</x:v>
      </x:c>
    </x:row>
    <x:row r="97">
      <x:c r="A97" t="str">
        <x:v>FY26 Mid-Year Update</x:v>
      </x:c>
      <x:c r="B97" s="8" t="str">
        <x:v>2026-08-01</x:v>
      </x:c>
      <x:c r="C97" t="str">
        <x:v>Region A</x:v>
      </x:c>
      <x:c r="D97" t="str">
        <x:v>Buying Group</x:v>
      </x:c>
      <x:c r="E97" t="str">
        <x:v>RX-ONC-ORAL</x:v>
      </x:c>
      <x:c r="F97" t="str">
        <x:v>Product Iota</x:v>
      </x:c>
      <x:c r="G97" s="9" t="n">
        <x:v>810</x:v>
      </x:c>
      <x:c r="H97" s="10" t="n">
        <x:v>9024</x:v>
      </x:c>
      <x:c r="I97" s="10" t="n">
        <x:v>7535.04</x:v>
      </x:c>
      <x:c r="J97" s="10" t="n">
        <x:f>G97*I97</x:f>
        <x:v>6103382.4</x:v>
      </x:c>
      <x:c r="K97" s="10" t="n">
        <x:v>2820</x:v>
      </x:c>
      <x:c r="L97" s="10" t="n">
        <x:f>J97-(G97*K97)</x:f>
        <x:v>3819182.4000000004</x:v>
      </x:c>
      <x:c r="M97" s="11" t="n">
        <x:f>IF(J97=0,0,L97/J97)</x:f>
        <x:v>0.625748502994012</x:v>
      </x:c>
      <x:c r="N97" t="str">
        <x:v>Active</x:v>
      </x:c>
    </x:row>
    <x:row r="98">
      <x:c r="A98" t="str">
        <x:v>FY26 Mid-Year Update</x:v>
      </x:c>
      <x:c r="B98" s="8" t="str">
        <x:v>2026-08-01</x:v>
      </x:c>
      <x:c r="C98" t="str">
        <x:v>Region B</x:v>
      </x:c>
      <x:c r="D98" t="str">
        <x:v>Buying Group</x:v>
      </x:c>
      <x:c r="E98" t="str">
        <x:v>RX-RARE-INF</x:v>
      </x:c>
      <x:c r="F98" t="str">
        <x:v>Product Kappa</x:v>
      </x:c>
      <x:c r="G98" s="9" t="n">
        <x:v>887</x:v>
      </x:c>
      <x:c r="H98" s="10" t="n">
        <x:v>33060</x:v>
      </x:c>
      <x:c r="I98" s="10" t="n">
        <x:v>27109.199999999997</x:v>
      </x:c>
      <x:c r="J98" s="10" t="n">
        <x:f>G98*I98</x:f>
        <x:v>24045860.4</x:v>
      </x:c>
      <x:c r="K98" s="10" t="n">
        <x:v>8700</x:v>
      </x:c>
      <x:c r="L98" s="10" t="n">
        <x:f>J98-(G98*K98)</x:f>
        <x:v>16328960.399999999</x:v>
      </x:c>
      <x:c r="M98" s="11" t="n">
        <x:f>IF(J98=0,0,L98/J98)</x:f>
        <x:v>0.6790757381258022</x:v>
      </x:c>
      <x:c r="N98" t="str">
        <x:v>Active</x:v>
      </x:c>
    </x:row>
    <x:row r="99">
      <x:c r="A99" t="str">
        <x:v>FY26 Mid-Year Update</x:v>
      </x:c>
      <x:c r="B99" s="8" t="str">
        <x:v>2026-08-01</x:v>
      </x:c>
      <x:c r="C99" t="str">
        <x:v>Region C</x:v>
      </x:c>
      <x:c r="D99" t="str">
        <x:v>Distributor</x:v>
      </x:c>
      <x:c r="E99" t="str">
        <x:v>DX-GENE-02</x:v>
      </x:c>
      <x:c r="F99" t="str">
        <x:v>Product Lambda</x:v>
      </x:c>
      <x:c r="G99" s="9" t="n">
        <x:v>964</x:v>
      </x:c>
      <x:c r="H99" s="10" t="n">
        <x:v>1216</x:v>
      </x:c>
      <x:c r="I99" s="10" t="n">
        <x:v>1142.85</x:v>
      </x:c>
      <x:c r="J99" s="10" t="n">
        <x:f>G99*I99</x:f>
        <x:v>1101707.4</x:v>
      </x:c>
      <x:c r="K99" s="10" t="n">
        <x:v>448</x:v>
      </x:c>
      <x:c r="L99" s="10" t="n">
        <x:f>J99-(G99*K99)</x:f>
        <x:v>669835.3999999999</x:v>
      </x:c>
      <x:c r="M99" s="11" t="n">
        <x:f>IF(J99=0,0,L99/J99)</x:f>
        <x:v>0.6079975499846874</x:v>
      </x:c>
      <x:c r="N99" t="str">
        <x:v>Active</x:v>
      </x:c>
    </x:row>
    <x:row r="100">
      <x:c r="A100" t="str">
        <x:v>FY26 Mid-Year Update</x:v>
      </x:c>
      <x:c r="B100" s="8" t="str">
        <x:v>2026-08-01</x:v>
      </x:c>
      <x:c r="C100" t="str">
        <x:v>Region C</x:v>
      </x:c>
      <x:c r="D100" t="str">
        <x:v>Hospital / Institution</x:v>
      </x:c>
      <x:c r="E100" t="str">
        <x:v>SVC-PAT-01</x:v>
      </x:c>
      <x:c r="F100" t="str">
        <x:v>Product Mu</x:v>
      </x:c>
      <x:c r="G100" s="9" t="n">
        <x:v>1041</x:v>
      </x:c>
      <x:c r="H100" s="10" t="n">
        <x:v>42000</x:v>
      </x:c>
      <x:c r="I100" s="10" t="n">
        <x:v>38850</x:v>
      </x:c>
      <x:c r="J100" s="10" t="n">
        <x:f>G100*I100</x:f>
        <x:v>40442850</x:v>
      </x:c>
      <x:c r="K100" s="10" t="n">
        <x:v>16800</x:v>
      </x:c>
      <x:c r="L100" s="10" t="n">
        <x:f>J100-(G100*K100)</x:f>
        <x:v>22954050</x:v>
      </x:c>
      <x:c r="M100" s="11" t="n">
        <x:f>IF(J100=0,0,L100/J100)</x:f>
        <x:v>0.5675675675675675</x:v>
      </x:c>
      <x:c r="N100" t="str">
        <x:v>Active</x:v>
      </x:c>
    </x:row>
    <x:row r="101">
      <x:c r="A101" t="str">
        <x:v>FY26 Mid-Year Update</x:v>
      </x:c>
      <x:c r="B101" s="8" t="str">
        <x:v>2026-09-01</x:v>
      </x:c>
      <x:c r="C101" t="str">
        <x:v>Region B</x:v>
      </x:c>
      <x:c r="D101" t="str">
        <x:v>Buying Group</x:v>
      </x:c>
      <x:c r="E101" t="str">
        <x:v>RX-ONC-100</x:v>
      </x:c>
      <x:c r="F101" t="str">
        <x:v>Product Alpha</x:v>
      </x:c>
      <x:c r="G101" s="9" t="n">
        <x:v>208</x:v>
      </x:c>
      <x:c r="H101" s="10" t="n">
        <x:v>1776</x:v>
      </x:c>
      <x:c r="I101" s="10" t="n">
        <x:v>1669.4399999999998</x:v>
      </x:c>
      <x:c r="J101" s="10" t="n">
        <x:f>G101*I101</x:f>
        <x:v>347243.51999999996</x:v>
      </x:c>
      <x:c r="K101" s="10" t="n">
        <x:v>555</x:v>
      </x:c>
      <x:c r="L101" s="10" t="n">
        <x:f>J101-(G101*K101)</x:f>
        <x:v>231803.51999999996</x:v>
      </x:c>
      <x:c r="M101" s="11" t="n">
        <x:f>IF(J101=0,0,L101/J101)</x:f>
        <x:v>0.6675531914893617</x:v>
      </x:c>
      <x:c r="N101" t="str">
        <x:v>Active</x:v>
      </x:c>
    </x:row>
    <x:row r="102">
      <x:c r="A102" t="str">
        <x:v>FY26 Mid-Year Update</x:v>
      </x:c>
      <x:c r="B102" s="8" t="str">
        <x:v>2026-09-01</x:v>
      </x:c>
      <x:c r="C102" t="str">
        <x:v>Region C</x:v>
      </x:c>
      <x:c r="D102" t="str">
        <x:v>Distributor</x:v>
      </x:c>
      <x:c r="E102" t="str">
        <x:v>RX-ONC-500</x:v>
      </x:c>
      <x:c r="F102" t="str">
        <x:v>Product Beta</x:v>
      </x:c>
      <x:c r="G102" s="9" t="n">
        <x:v>292</x:v>
      </x:c>
      <x:c r="H102" s="10" t="n">
        <x:v>6840</x:v>
      </x:c>
      <x:c r="I102" s="10" t="n">
        <x:v>6327</x:v>
      </x:c>
      <x:c r="J102" s="10" t="n">
        <x:f>G102*I102</x:f>
        <x:v>1847484</x:v>
      </x:c>
      <x:c r="K102" s="10" t="n">
        <x:v>2160</x:v>
      </x:c>
      <x:c r="L102" s="10" t="n">
        <x:f>J102-(G102*K102)</x:f>
        <x:v>1216764</x:v>
      </x:c>
      <x:c r="M102" s="11" t="n">
        <x:f>IF(J102=0,0,L102/J102)</x:f>
        <x:v>0.6586059743954481</x:v>
      </x:c>
      <x:c r="N102" t="str">
        <x:v>Active</x:v>
      </x:c>
    </x:row>
    <x:row r="103">
      <x:c r="A103" t="str">
        <x:v>FY26 Mid-Year Update</x:v>
      </x:c>
      <x:c r="B103" s="8" t="str">
        <x:v>2026-09-01</x:v>
      </x:c>
      <x:c r="C103" t="str">
        <x:v>Region C</x:v>
      </x:c>
      <x:c r="D103" t="str">
        <x:v>Hospital / Institution</x:v>
      </x:c>
      <x:c r="E103" t="str">
        <x:v>BIO-RA-200</x:v>
      </x:c>
      <x:c r="F103" t="str">
        <x:v>Product Gamma</x:v>
      </x:c>
      <x:c r="G103" s="9" t="n">
        <x:v>376</x:v>
      </x:c>
      <x:c r="H103" s="10" t="n">
        <x:v>1121</x:v>
      </x:c>
      <x:c r="I103" s="10" t="n">
        <x:v>1020.3</x:v>
      </x:c>
      <x:c r="J103" s="10" t="n">
        <x:f>G103*I103</x:f>
        <x:v>383632.8</x:v>
      </x:c>
      <x:c r="K103" s="10" t="n">
        <x:v>413</x:v>
      </x:c>
      <x:c r="L103" s="10" t="n">
        <x:f>J103-(G103*K103)</x:f>
        <x:v>228344.8</x:v>
      </x:c>
      <x:c r="M103" s="11" t="n">
        <x:f>IF(J103=0,0,L103/J103)</x:f>
        <x:v>0.5952170930118592</x:v>
      </x:c>
      <x:c r="N103" t="str">
        <x:v>Active</x:v>
      </x:c>
    </x:row>
    <x:row r="104">
      <x:c r="A104" t="str">
        <x:v>FY26 Mid-Year Update</x:v>
      </x:c>
      <x:c r="B104" s="8" t="str">
        <x:v>2026-09-01</x:v>
      </x:c>
      <x:c r="C104" t="str">
        <x:v>Region A</x:v>
      </x:c>
      <x:c r="D104" t="str">
        <x:v>Direct Corporate Account</x:v>
      </x:c>
      <x:c r="E104" t="str">
        <x:v>RX-CARD-50</x:v>
      </x:c>
      <x:c r="F104" t="str">
        <x:v>Product Delta</x:v>
      </x:c>
      <x:c r="G104" s="9" t="n">
        <x:v>460</x:v>
      </x:c>
      <x:c r="H104" s="10" t="n">
        <x:v>394.8</x:v>
      </x:c>
      <x:c r="I104" s="10" t="n">
        <x:v>353.44</x:v>
      </x:c>
      <x:c r="J104" s="10" t="n">
        <x:f>G104*I104</x:f>
        <x:v>162582.4</x:v>
      </x:c>
      <x:c r="K104" s="10" t="n">
        <x:v>147</x:v>
      </x:c>
      <x:c r="L104" s="10" t="n">
        <x:f>J104-(G104*K104)</x:f>
        <x:v>94962.4</x:v>
      </x:c>
      <x:c r="M104" s="11" t="n">
        <x:f>IF(J104=0,0,L104/J104)</x:f>
        <x:v>0.5840878225441376</x:v>
      </x:c>
      <x:c r="N104" t="str">
        <x:v>Active</x:v>
      </x:c>
    </x:row>
    <x:row r="105">
      <x:c r="A105" t="str">
        <x:v>FY26 Mid-Year Update</x:v>
      </x:c>
      <x:c r="B105" s="8" t="str">
        <x:v>2026-09-01</x:v>
      </x:c>
      <x:c r="C105" t="str">
        <x:v>Region B</x:v>
      </x:c>
      <x:c r="D105" t="str">
        <x:v>Hospital / Institution</x:v>
      </x:c>
      <x:c r="E105" t="str">
        <x:v>RX-RARE-10</x:v>
      </x:c>
      <x:c r="F105" t="str">
        <x:v>Product Epsilon</x:v>
      </x:c>
      <x:c r="G105" s="9" t="n">
        <x:v>544</x:v>
      </x:c>
      <x:c r="H105" s="10" t="n">
        <x:v>27170</x:v>
      </x:c>
      <x:c r="I105" s="10" t="n">
        <x:v>23909.6</x:v>
      </x:c>
      <x:c r="J105" s="10" t="n">
        <x:f>G105*I105</x:f>
        <x:v>13006822.399999999</x:v>
      </x:c>
      <x:c r="K105" s="10" t="n">
        <x:v>7150</x:v>
      </x:c>
      <x:c r="L105" s="10" t="n">
        <x:f>J105-(G105*K105)</x:f>
        <x:v>9117222.399999999</x:v>
      </x:c>
      <x:c r="M105" s="11" t="n">
        <x:f>IF(J105=0,0,L105/J105)</x:f>
        <x:v>0.700956937799043</x:v>
      </x:c>
      <x:c r="N105" t="str">
        <x:v>Active</x:v>
      </x:c>
    </x:row>
    <x:row r="106">
      <x:c r="A106" t="str">
        <x:v>FY26 Mid-Year Update</x:v>
      </x:c>
      <x:c r="B106" s="8" t="str">
        <x:v>2026-09-01</x:v>
      </x:c>
      <x:c r="C106" t="str">
        <x:v>Region C</x:v>
      </x:c>
      <x:c r="D106" t="str">
        <x:v>Hospital / Institution</x:v>
      </x:c>
      <x:c r="E106" t="str">
        <x:v>DX-COMP-01</x:v>
      </x:c>
      <x:c r="F106" t="str">
        <x:v>Product Zeta</x:v>
      </x:c>
      <x:c r="G106" s="9" t="n">
        <x:v>628</x:v>
      </x:c>
      <x:c r="H106" s="10" t="n">
        <x:v>902.5</x:v>
      </x:c>
      <x:c r="I106" s="10" t="n">
        <x:v>780.9</x:v>
      </x:c>
      <x:c r="J106" s="10" t="n">
        <x:f>G106*I106</x:f>
        <x:v>490405.2</x:v>
      </x:c>
      <x:c r="K106" s="10" t="n">
        <x:v>333</x:v>
      </x:c>
      <x:c r="L106" s="10" t="n">
        <x:f>J106-(G106*K106)</x:f>
        <x:v>281281.2</x:v>
      </x:c>
      <x:c r="M106" s="11" t="n">
        <x:f>IF(J106=0,0,L106/J106)</x:f>
        <x:v>0.5735689588935844</x:v>
      </x:c>
      <x:c r="N106" t="str">
        <x:v>Active</x:v>
      </x:c>
    </x:row>
    <x:row r="107">
      <x:c r="A107" t="str">
        <x:v>FY26 Mid-Year Update</x:v>
      </x:c>
      <x:c r="B107" s="8" t="str">
        <x:v>2026-09-01</x:v>
      </x:c>
      <x:c r="C107" t="str">
        <x:v>Region C</x:v>
      </x:c>
      <x:c r="D107" t="str">
        <x:v>Retail / Pharmacy Chain</x:v>
      </x:c>
      <x:c r="E107" t="str">
        <x:v>RX-HOSP-20</x:v>
      </x:c>
      <x:c r="F107" t="str">
        <x:v>Product Eta</x:v>
      </x:c>
      <x:c r="G107" s="9" t="n">
        <x:v>712</x:v>
      </x:c>
      <x:c r="H107" s="10" t="n">
        <x:v>1240.8</x:v>
      </x:c>
      <x:c r="I107" s="10" t="n">
        <x:v>1054.6799999999998</x:v>
      </x:c>
      <x:c r="J107" s="10" t="n">
        <x:f>G107*I107</x:f>
        <x:v>750932.1599999999</x:v>
      </x:c>
      <x:c r="K107" s="10" t="n">
        <x:v>462</x:v>
      </x:c>
      <x:c r="L107" s="10" t="n">
        <x:f>J107-(G107*K107)</x:f>
        <x:v>421988.1599999999</x:v>
      </x:c>
      <x:c r="M107" s="11" t="n">
        <x:f>IF(J107=0,0,L107/J107)</x:f>
        <x:v>0.5619524405506883</x:v>
      </x:c>
      <x:c r="N107" t="str">
        <x:v>Active</x:v>
      </x:c>
    </x:row>
    <x:row r="108">
      <x:c r="A108" t="str">
        <x:v>FY26 Mid-Year Update</x:v>
      </x:c>
      <x:c r="B108" s="8" t="str">
        <x:v>2026-09-01</x:v>
      </x:c>
      <x:c r="C108" t="str">
        <x:v>Region A</x:v>
      </x:c>
      <x:c r="D108" t="str">
        <x:v>Buying Group</x:v>
      </x:c>
      <x:c r="E108" t="str">
        <x:v>BIO-DERM-80</x:v>
      </x:c>
      <x:c r="F108" t="str">
        <x:v>Product Theta</x:v>
      </x:c>
      <x:c r="G108" s="9" t="n">
        <x:v>796</x:v>
      </x:c>
      <x:c r="H108" s="10" t="n">
        <x:v>931</x:v>
      </x:c>
      <x:c r="I108" s="10" t="n">
        <x:v>777.1</x:v>
      </x:c>
      <x:c r="J108" s="10" t="n">
        <x:f>G108*I108</x:f>
        <x:v>618571.6</x:v>
      </x:c>
      <x:c r="K108" s="10" t="n">
        <x:v>343</x:v>
      </x:c>
      <x:c r="L108" s="10" t="n">
        <x:f>J108-(G108*K108)</x:f>
        <x:v>345543.6</x:v>
      </x:c>
      <x:c r="M108" s="11" t="n">
        <x:f>IF(J108=0,0,L108/J108)</x:f>
        <x:v>0.5586153648179127</x:v>
      </x:c>
      <x:c r="N108" t="str">
        <x:v>Active</x:v>
      </x:c>
    </x:row>
    <x:row r="109">
      <x:c r="A109" t="str">
        <x:v>FY26 Mid-Year Update</x:v>
      </x:c>
      <x:c r="B109" s="8" t="str">
        <x:v>2026-09-01</x:v>
      </x:c>
      <x:c r="C109" t="str">
        <x:v>Region B</x:v>
      </x:c>
      <x:c r="D109" t="str">
        <x:v>Buying Group</x:v>
      </x:c>
      <x:c r="E109" t="str">
        <x:v>RX-ONC-ORAL</x:v>
      </x:c>
      <x:c r="F109" t="str">
        <x:v>Product Iota</x:v>
      </x:c>
      <x:c r="G109" s="9" t="n">
        <x:v>880</x:v>
      </x:c>
      <x:c r="H109" s="10" t="n">
        <x:v>9024</x:v>
      </x:c>
      <x:c r="I109" s="10" t="n">
        <x:v>7399.679999999999</x:v>
      </x:c>
      <x:c r="J109" s="10" t="n">
        <x:f>G109*I109</x:f>
        <x:v>6511718.399999999</x:v>
      </x:c>
      <x:c r="K109" s="10" t="n">
        <x:v>2820</x:v>
      </x:c>
      <x:c r="L109" s="10" t="n">
        <x:f>J109-(G109*K109)</x:f>
        <x:v>4030118.3999999994</x:v>
      </x:c>
      <x:c r="M109" s="11" t="n">
        <x:f>IF(J109=0,0,L109/J109)</x:f>
        <x:v>0.6189024390243902</x:v>
      </x:c>
      <x:c r="N109" t="str">
        <x:v>Active</x:v>
      </x:c>
    </x:row>
    <x:row r="110">
      <x:c r="A110" t="str">
        <x:v>FY26 Mid-Year Update</x:v>
      </x:c>
      <x:c r="B110" s="8" t="str">
        <x:v>2026-09-01</x:v>
      </x:c>
      <x:c r="C110" t="str">
        <x:v>Region C</x:v>
      </x:c>
      <x:c r="D110" t="str">
        <x:v>Distributor</x:v>
      </x:c>
      <x:c r="E110" t="str">
        <x:v>RX-RARE-INF</x:v>
      </x:c>
      <x:c r="F110" t="str">
        <x:v>Product Kappa</x:v>
      </x:c>
      <x:c r="G110" s="9" t="n">
        <x:v>964</x:v>
      </x:c>
      <x:c r="H110" s="10" t="n">
        <x:v>33060</x:v>
      </x:c>
      <x:c r="I110" s="10" t="n">
        <x:v>31076.399999999998</x:v>
      </x:c>
      <x:c r="J110" s="10" t="n">
        <x:f>G110*I110</x:f>
        <x:v>29957649.599999998</x:v>
      </x:c>
      <x:c r="K110" s="10" t="n">
        <x:v>8700</x:v>
      </x:c>
      <x:c r="L110" s="10" t="n">
        <x:f>J110-(G110*K110)</x:f>
        <x:v>21570849.599999998</x:v>
      </x:c>
      <x:c r="M110" s="11" t="n">
        <x:f>IF(J110=0,0,L110/J110)</x:f>
        <x:v>0.7200447928331467</x:v>
      </x:c>
      <x:c r="N110" t="str">
        <x:v>Active</x:v>
      </x:c>
    </x:row>
    <x:row r="111">
      <x:c r="A111" t="str">
        <x:v>FY26 Mid-Year Update</x:v>
      </x:c>
      <x:c r="B111" s="8" t="str">
        <x:v>2026-09-01</x:v>
      </x:c>
      <x:c r="C111" t="str">
        <x:v>Region C</x:v>
      </x:c>
      <x:c r="D111" t="str">
        <x:v>Hospital / Institution</x:v>
      </x:c>
      <x:c r="E111" t="str">
        <x:v>DX-GENE-02</x:v>
      </x:c>
      <x:c r="F111" t="str">
        <x:v>Product Lambda</x:v>
      </x:c>
      <x:c r="G111" s="9" t="n">
        <x:v>1048</x:v>
      </x:c>
      <x:c r="H111" s="10" t="n">
        <x:v>1216</x:v>
      </x:c>
      <x:c r="I111" s="10" t="n">
        <x:v>1124.8</x:v>
      </x:c>
      <x:c r="J111" s="10" t="n">
        <x:f>G111*I111</x:f>
        <x:v>1178790.4</x:v>
      </x:c>
      <x:c r="K111" s="10" t="n">
        <x:v>448</x:v>
      </x:c>
      <x:c r="L111" s="10" t="n">
        <x:f>J111-(G111*K111)</x:f>
        <x:v>709286.3999999999</x:v>
      </x:c>
      <x:c r="M111" s="11" t="n">
        <x:f>IF(J111=0,0,L111/J111)</x:f>
        <x:v>0.6017069701280228</x:v>
      </x:c>
      <x:c r="N111" t="str">
        <x:v>Active</x:v>
      </x:c>
    </x:row>
    <x:row r="112">
      <x:c r="A112" t="str">
        <x:v>FY26 Mid-Year Update</x:v>
      </x:c>
      <x:c r="B112" s="8" t="str">
        <x:v>2026-09-01</x:v>
      </x:c>
      <x:c r="C112" t="str">
        <x:v>Region A</x:v>
      </x:c>
      <x:c r="D112" t="str">
        <x:v>Direct Corporate Account</x:v>
      </x:c>
      <x:c r="E112" t="str">
        <x:v>SVC-PAT-01</x:v>
      </x:c>
      <x:c r="F112" t="str">
        <x:v>Product Mu</x:v>
      </x:c>
      <x:c r="G112" s="9" t="n">
        <x:v>1132</x:v>
      </x:c>
      <x:c r="H112" s="10" t="n">
        <x:v>42000</x:v>
      </x:c>
      <x:c r="I112" s="10" t="n">
        <x:v>38220</x:v>
      </x:c>
      <x:c r="J112" s="10" t="n">
        <x:f>G112*I112</x:f>
        <x:v>43265040</x:v>
      </x:c>
      <x:c r="K112" s="10" t="n">
        <x:v>16800</x:v>
      </x:c>
      <x:c r="L112" s="10" t="n">
        <x:f>J112-(G112*K112)</x:f>
        <x:v>24247440</x:v>
      </x:c>
      <x:c r="M112" s="11" t="n">
        <x:f>IF(J112=0,0,L112/J112)</x:f>
        <x:v>0.5604395604395604</x:v>
      </x:c>
      <x:c r="N112" t="str">
        <x:v>Active</x:v>
      </x:c>
    </x:row>
    <x:row r="113">
      <x:c r="A113" t="str">
        <x:v>FY26 Mid-Year Update</x:v>
      </x:c>
      <x:c r="B113" s="8" t="str">
        <x:v>2026-10-01</x:v>
      </x:c>
      <x:c r="C113" t="str">
        <x:v>Region C</x:v>
      </x:c>
      <x:c r="D113" t="str">
        <x:v>Distributor</x:v>
      </x:c>
      <x:c r="E113" t="str">
        <x:v>RX-ONC-100</x:v>
      </x:c>
      <x:c r="F113" t="str">
        <x:v>Product Alpha</x:v>
      </x:c>
      <x:c r="G113" s="9" t="n">
        <x:v>222</x:v>
      </x:c>
      <x:c r="H113" s="10" t="n">
        <x:v>1776</x:v>
      </x:c>
      <x:c r="I113" s="10" t="n">
        <x:v>1642.56</x:v>
      </x:c>
      <x:c r="J113" s="10" t="n">
        <x:f>G113*I113</x:f>
        <x:v>364648.32</x:v>
      </x:c>
      <x:c r="K113" s="10" t="n">
        <x:v>555</x:v>
      </x:c>
      <x:c r="L113" s="10" t="n">
        <x:f>J113-(G113*K113)</x:f>
        <x:v>241438.32</x:v>
      </x:c>
      <x:c r="M113" s="11" t="n">
        <x:f>IF(J113=0,0,L113/J113)</x:f>
        <x:v>0.6621127995324372</x:v>
      </x:c>
      <x:c r="N113" t="str">
        <x:v>Draft</x:v>
      </x:c>
    </x:row>
    <x:row r="114">
      <x:c r="A114" t="str">
        <x:v>FY26 Mid-Year Update</x:v>
      </x:c>
      <x:c r="B114" s="8" t="str">
        <x:v>2026-10-01</x:v>
      </x:c>
      <x:c r="C114" t="str">
        <x:v>Region C</x:v>
      </x:c>
      <x:c r="D114" t="str">
        <x:v>Hospital / Institution</x:v>
      </x:c>
      <x:c r="E114" t="str">
        <x:v>RX-ONC-500</x:v>
      </x:c>
      <x:c r="F114" t="str">
        <x:v>Product Beta</x:v>
      </x:c>
      <x:c r="G114" s="9" t="n">
        <x:v>313</x:v>
      </x:c>
      <x:c r="H114" s="10" t="n">
        <x:v>6840</x:v>
      </x:c>
      <x:c r="I114" s="10" t="n">
        <x:v>6224.400000000001</x:v>
      </x:c>
      <x:c r="J114" s="10" t="n">
        <x:f>G114*I114</x:f>
        <x:v>1948237.2000000002</x:v>
      </x:c>
      <x:c r="K114" s="10" t="n">
        <x:v>2160</x:v>
      </x:c>
      <x:c r="L114" s="10" t="n">
        <x:f>J114-(G114*K114)</x:f>
        <x:v>1272157.2000000002</x:v>
      </x:c>
      <x:c r="M114" s="11" t="n">
        <x:f>IF(J114=0,0,L114/J114)</x:f>
        <x:v>0.6529786003470215</x:v>
      </x:c>
      <x:c r="N114" t="str">
        <x:v>Draft</x:v>
      </x:c>
    </x:row>
    <x:row r="115">
      <x:c r="A115" t="str">
        <x:v>FY26 Mid-Year Update</x:v>
      </x:c>
      <x:c r="B115" s="8" t="str">
        <x:v>2026-10-01</x:v>
      </x:c>
      <x:c r="C115" t="str">
        <x:v>Region A</x:v>
      </x:c>
      <x:c r="D115" t="str">
        <x:v>Direct Corporate Account</x:v>
      </x:c>
      <x:c r="E115" t="str">
        <x:v>BIO-RA-200</x:v>
      </x:c>
      <x:c r="F115" t="str">
        <x:v>Product Gamma</x:v>
      </x:c>
      <x:c r="G115" s="9" t="n">
        <x:v>404</x:v>
      </x:c>
      <x:c r="H115" s="10" t="n">
        <x:v>1121</x:v>
      </x:c>
      <x:c r="I115" s="10" t="n">
        <x:v>1003.2</x:v>
      </x:c>
      <x:c r="J115" s="10" t="n">
        <x:f>G115*I115</x:f>
        <x:v>405292.80000000005</x:v>
      </x:c>
      <x:c r="K115" s="10" t="n">
        <x:v>413</x:v>
      </x:c>
      <x:c r="L115" s="10" t="n">
        <x:f>J115-(G115*K115)</x:f>
        <x:v>238440.80000000005</x:v>
      </x:c>
      <x:c r="M115" s="11" t="n">
        <x:f>IF(J115=0,0,L115/J115)</x:f>
        <x:v>0.588317384370016</x:v>
      </x:c>
      <x:c r="N115" t="str">
        <x:v>Draft</x:v>
      </x:c>
    </x:row>
    <x:row r="116">
      <x:c r="A116" t="str">
        <x:v>FY26 Mid-Year Update</x:v>
      </x:c>
      <x:c r="B116" s="8" t="str">
        <x:v>2026-10-01</x:v>
      </x:c>
      <x:c r="C116" t="str">
        <x:v>Region B</x:v>
      </x:c>
      <x:c r="D116" t="str">
        <x:v>Hospital / Institution</x:v>
      </x:c>
      <x:c r="E116" t="str">
        <x:v>RX-CARD-50</x:v>
      </x:c>
      <x:c r="F116" t="str">
        <x:v>Product Delta</x:v>
      </x:c>
      <x:c r="G116" s="9" t="n">
        <x:v>495</x:v>
      </x:c>
      <x:c r="H116" s="10" t="n">
        <x:v>394.8</x:v>
      </x:c>
      <x:c r="I116" s="10" t="n">
        <x:v>347.8</x:v>
      </x:c>
      <x:c r="J116" s="10" t="n">
        <x:f>G116*I116</x:f>
        <x:v>172161</x:v>
      </x:c>
      <x:c r="K116" s="10" t="n">
        <x:v>147</x:v>
      </x:c>
      <x:c r="L116" s="10" t="n">
        <x:f>J116-(G116*K116)</x:f>
        <x:v>99396</x:v>
      </x:c>
      <x:c r="M116" s="11" t="n">
        <x:f>IF(J116=0,0,L116/J116)</x:f>
        <x:v>0.577343300747556</x:v>
      </x:c>
      <x:c r="N116" t="str">
        <x:v>Draft</x:v>
      </x:c>
    </x:row>
    <x:row r="117">
      <x:c r="A117" t="str">
        <x:v>FY26 Mid-Year Update</x:v>
      </x:c>
      <x:c r="B117" s="8" t="str">
        <x:v>2026-10-01</x:v>
      </x:c>
      <x:c r="C117" t="str">
        <x:v>Region C</x:v>
      </x:c>
      <x:c r="D117" t="str">
        <x:v>Hospital / Institution</x:v>
      </x:c>
      <x:c r="E117" t="str">
        <x:v>RX-RARE-10</x:v>
      </x:c>
      <x:c r="F117" t="str">
        <x:v>Product Epsilon</x:v>
      </x:c>
      <x:c r="G117" s="9" t="n">
        <x:v>586</x:v>
      </x:c>
      <x:c r="H117" s="10" t="n">
        <x:v>27170</x:v>
      </x:c>
      <x:c r="I117" s="10" t="n">
        <x:v>23502.05</x:v>
      </x:c>
      <x:c r="J117" s="10" t="n">
        <x:f>G117*I117</x:f>
        <x:v>13772201.299999999</x:v>
      </x:c>
      <x:c r="K117" s="10" t="n">
        <x:v>7150</x:v>
      </x:c>
      <x:c r="L117" s="10" t="n">
        <x:f>J117-(G117*K117)</x:f>
        <x:v>9582301.299999999</x:v>
      </x:c>
      <x:c r="M117" s="11" t="n">
        <x:f>IF(J117=0,0,L117/J117)</x:f>
        <x:v>0.695771219957408</x:v>
      </x:c>
      <x:c r="N117" t="str">
        <x:v>Draft</x:v>
      </x:c>
    </x:row>
    <x:row r="118">
      <x:c r="A118" t="str">
        <x:v>FY26 Mid-Year Update</x:v>
      </x:c>
      <x:c r="B118" s="8" t="str">
        <x:v>2026-10-01</x:v>
      </x:c>
      <x:c r="C118" t="str">
        <x:v>Region C</x:v>
      </x:c>
      <x:c r="D118" t="str">
        <x:v>Retail / Pharmacy Chain</x:v>
      </x:c>
      <x:c r="E118" t="str">
        <x:v>DX-COMP-01</x:v>
      </x:c>
      <x:c r="F118" t="str">
        <x:v>Product Zeta</x:v>
      </x:c>
      <x:c r="G118" s="9" t="n">
        <x:v>677</x:v>
      </x:c>
      <x:c r="H118" s="10" t="n">
        <x:v>902.5</x:v>
      </x:c>
      <x:c r="I118" s="10" t="n">
        <x:v>767.6</x:v>
      </x:c>
      <x:c r="J118" s="10" t="n">
        <x:f>G118*I118</x:f>
        <x:v>519665.2</x:v>
      </x:c>
      <x:c r="K118" s="10" t="n">
        <x:v>333</x:v>
      </x:c>
      <x:c r="L118" s="10" t="n">
        <x:f>J118-(G118*K118)</x:f>
        <x:v>294224.2</x:v>
      </x:c>
      <x:c r="M118" s="11" t="n">
        <x:f>IF(J118=0,0,L118/J118)</x:f>
        <x:v>0.5661803022407504</x:v>
      </x:c>
      <x:c r="N118" t="str">
        <x:v>Draft</x:v>
      </x:c>
    </x:row>
    <x:row r="119">
      <x:c r="A119" t="str">
        <x:v>FY26 Mid-Year Update</x:v>
      </x:c>
      <x:c r="B119" s="8" t="str">
        <x:v>2026-10-01</x:v>
      </x:c>
      <x:c r="C119" t="str">
        <x:v>Region A</x:v>
      </x:c>
      <x:c r="D119" t="str">
        <x:v>Buying Group</x:v>
      </x:c>
      <x:c r="E119" t="str">
        <x:v>RX-HOSP-20</x:v>
      </x:c>
      <x:c r="F119" t="str">
        <x:v>Product Eta</x:v>
      </x:c>
      <x:c r="G119" s="9" t="n">
        <x:v>768</x:v>
      </x:c>
      <x:c r="H119" s="10" t="n">
        <x:v>1240.8</x:v>
      </x:c>
      <x:c r="I119" s="10" t="n">
        <x:v>1035.8799999999999</x:v>
      </x:c>
      <x:c r="J119" s="10" t="n">
        <x:f>G119*I119</x:f>
        <x:v>795555.8399999999</x:v>
      </x:c>
      <x:c r="K119" s="10" t="n">
        <x:v>462</x:v>
      </x:c>
      <x:c r="L119" s="10" t="n">
        <x:f>J119-(G119*K119)</x:f>
        <x:v>440739.83999999985</x:v>
      </x:c>
      <x:c r="M119" s="11" t="n">
        <x:f>IF(J119=0,0,L119/J119)</x:f>
        <x:v>0.5540023940997025</x:v>
      </x:c>
      <x:c r="N119" t="str">
        <x:v>Draft</x:v>
      </x:c>
    </x:row>
    <x:row r="120">
      <x:c r="A120" t="str">
        <x:v>FY26 Mid-Year Update</x:v>
      </x:c>
      <x:c r="B120" s="8" t="str">
        <x:v>2026-10-01</x:v>
      </x:c>
      <x:c r="C120" t="str">
        <x:v>Region B</x:v>
      </x:c>
      <x:c r="D120" t="str">
        <x:v>Buying Group</x:v>
      </x:c>
      <x:c r="E120" t="str">
        <x:v>BIO-DERM-80</x:v>
      </x:c>
      <x:c r="F120" t="str">
        <x:v>Product Theta</x:v>
      </x:c>
      <x:c r="G120" s="9" t="n">
        <x:v>859</x:v>
      </x:c>
      <x:c r="H120" s="10" t="n">
        <x:v>931</x:v>
      </x:c>
      <x:c r="I120" s="10" t="n">
        <x:v>763.8</x:v>
      </x:c>
      <x:c r="J120" s="10" t="n">
        <x:f>G120*I120</x:f>
        <x:v>656104.2</x:v>
      </x:c>
      <x:c r="K120" s="10" t="n">
        <x:v>343</x:v>
      </x:c>
      <x:c r="L120" s="10" t="n">
        <x:f>J120-(G120*K120)</x:f>
        <x:v>361467.19999999995</x:v>
      </x:c>
      <x:c r="M120" s="11" t="n">
        <x:f>IF(J120=0,0,L120/J120)</x:f>
        <x:v>0.550929562712752</x:v>
      </x:c>
      <x:c r="N120" t="str">
        <x:v>Draft</x:v>
      </x:c>
    </x:row>
    <x:row r="121">
      <x:c r="A121" t="str">
        <x:v>FY26 Mid-Year Update</x:v>
      </x:c>
      <x:c r="B121" s="8" t="str">
        <x:v>2026-10-01</x:v>
      </x:c>
      <x:c r="C121" t="str">
        <x:v>Region C</x:v>
      </x:c>
      <x:c r="D121" t="str">
        <x:v>Distributor</x:v>
      </x:c>
      <x:c r="E121" t="str">
        <x:v>RX-ONC-ORAL</x:v>
      </x:c>
      <x:c r="F121" t="str">
        <x:v>Product Iota</x:v>
      </x:c>
      <x:c r="G121" s="9" t="n">
        <x:v>950</x:v>
      </x:c>
      <x:c r="H121" s="10" t="n">
        <x:v>9024</x:v>
      </x:c>
      <x:c r="I121" s="10" t="n">
        <x:v>8482.56</x:v>
      </x:c>
      <x:c r="J121" s="10" t="n">
        <x:f>G121*I121</x:f>
        <x:v>8058431.999999999</x:v>
      </x:c>
      <x:c r="K121" s="10" t="n">
        <x:v>2820</x:v>
      </x:c>
      <x:c r="L121" s="10" t="n">
        <x:f>J121-(G121*K121)</x:f>
        <x:v>5379431.999999999</x:v>
      </x:c>
      <x:c r="M121" s="11" t="n">
        <x:f>IF(J121=0,0,L121/J121)</x:f>
        <x:v>0.6675531914893617</x:v>
      </x:c>
      <x:c r="N121" t="str">
        <x:v>Draft</x:v>
      </x:c>
    </x:row>
    <x:row r="122">
      <x:c r="A122" t="str">
        <x:v>FY26 Mid-Year Update</x:v>
      </x:c>
      <x:c r="B122" s="8" t="str">
        <x:v>2026-10-01</x:v>
      </x:c>
      <x:c r="C122" t="str">
        <x:v>Region C</x:v>
      </x:c>
      <x:c r="D122" t="str">
        <x:v>Hospital / Institution</x:v>
      </x:c>
      <x:c r="E122" t="str">
        <x:v>RX-RARE-INF</x:v>
      </x:c>
      <x:c r="F122" t="str">
        <x:v>Product Kappa</x:v>
      </x:c>
      <x:c r="G122" s="9" t="n">
        <x:v>1041</x:v>
      </x:c>
      <x:c r="H122" s="10" t="n">
        <x:v>33060</x:v>
      </x:c>
      <x:c r="I122" s="10" t="n">
        <x:v>30580.5</x:v>
      </x:c>
      <x:c r="J122" s="10" t="n">
        <x:f>G122*I122</x:f>
        <x:v>31834300.5</x:v>
      </x:c>
      <x:c r="K122" s="10" t="n">
        <x:v>8700</x:v>
      </x:c>
      <x:c r="L122" s="10" t="n">
        <x:f>J122-(G122*K122)</x:f>
        <x:v>22777600.5</x:v>
      </x:c>
      <x:c r="M122" s="11" t="n">
        <x:f>IF(J122=0,0,L122/J122)</x:f>
        <x:v>0.7155049786628734</x:v>
      </x:c>
      <x:c r="N122" t="str">
        <x:v>Draft</x:v>
      </x:c>
    </x:row>
    <x:row r="123">
      <x:c r="A123" t="str">
        <x:v>FY26 Mid-Year Update</x:v>
      </x:c>
      <x:c r="B123" s="8" t="str">
        <x:v>2026-10-01</x:v>
      </x:c>
      <x:c r="C123" t="str">
        <x:v>Region A</x:v>
      </x:c>
      <x:c r="D123" t="str">
        <x:v>Direct Corporate Account</x:v>
      </x:c>
      <x:c r="E123" t="str">
        <x:v>DX-GENE-02</x:v>
      </x:c>
      <x:c r="F123" t="str">
        <x:v>Product Lambda</x:v>
      </x:c>
      <x:c r="G123" s="9" t="n">
        <x:v>1132</x:v>
      </x:c>
      <x:c r="H123" s="10" t="n">
        <x:v>1216</x:v>
      </x:c>
      <x:c r="I123" s="10" t="n">
        <x:v>1106.75</x:v>
      </x:c>
      <x:c r="J123" s="10" t="n">
        <x:f>G123*I123</x:f>
        <x:v>1252841</x:v>
      </x:c>
      <x:c r="K123" s="10" t="n">
        <x:v>448</x:v>
      </x:c>
      <x:c r="L123" s="10" t="n">
        <x:f>J123-(G123*K123)</x:f>
        <x:v>745705</x:v>
      </x:c>
      <x:c r="M123" s="11" t="n">
        <x:f>IF(J123=0,0,L123/J123)</x:f>
        <x:v>0.5952112039756042</x:v>
      </x:c>
      <x:c r="N123" t="str">
        <x:v>Draft</x:v>
      </x:c>
    </x:row>
    <x:row r="124">
      <x:c r="A124" t="str">
        <x:v>FY26 Mid-Year Update</x:v>
      </x:c>
      <x:c r="B124" s="8" t="str">
        <x:v>2026-10-01</x:v>
      </x:c>
      <x:c r="C124" t="str">
        <x:v>Region B</x:v>
      </x:c>
      <x:c r="D124" t="str">
        <x:v>Hospital / Institution</x:v>
      </x:c>
      <x:c r="E124" t="str">
        <x:v>SVC-PAT-01</x:v>
      </x:c>
      <x:c r="F124" t="str">
        <x:v>Product Mu</x:v>
      </x:c>
      <x:c r="G124" s="9" t="n">
        <x:v>1223</x:v>
      </x:c>
      <x:c r="H124" s="10" t="n">
        <x:v>42000</x:v>
      </x:c>
      <x:c r="I124" s="10" t="n">
        <x:v>37590</x:v>
      </x:c>
      <x:c r="J124" s="10" t="n">
        <x:f>G124*I124</x:f>
        <x:v>45972570</x:v>
      </x:c>
      <x:c r="K124" s="10" t="n">
        <x:v>16800</x:v>
      </x:c>
      <x:c r="L124" s="10" t="n">
        <x:f>J124-(G124*K124)</x:f>
        <x:v>25426170</x:v>
      </x:c>
      <x:c r="M124" s="11" t="n">
        <x:f>IF(J124=0,0,L124/J124)</x:f>
        <x:v>0.553072625698324</x:v>
      </x:c>
      <x:c r="N124" t="str">
        <x:v>Draft</x:v>
      </x:c>
    </x:row>
    <x:row r="125">
      <x:c r="A125" t="str">
        <x:v>FY26 Mid-Year Update</x:v>
      </x:c>
      <x:c r="B125" s="8" t="str">
        <x:v>2026-11-01</x:v>
      </x:c>
      <x:c r="C125" t="str">
        <x:v>Region C</x:v>
      </x:c>
      <x:c r="D125" t="str">
        <x:v>Hospital / Institution</x:v>
      </x:c>
      <x:c r="E125" t="str">
        <x:v>RX-ONC-100</x:v>
      </x:c>
      <x:c r="F125" t="str">
        <x:v>Product Alpha</x:v>
      </x:c>
      <x:c r="G125" s="9" t="n">
        <x:v>236</x:v>
      </x:c>
      <x:c r="H125" s="10" t="n">
        <x:v>1776</x:v>
      </x:c>
      <x:c r="I125" s="10" t="n">
        <x:v>1616.64</x:v>
      </x:c>
      <x:c r="J125" s="10" t="n">
        <x:f>G125*I125</x:f>
        <x:v>381527.04000000004</x:v>
      </x:c>
      <x:c r="K125" s="10" t="n">
        <x:v>555</x:v>
      </x:c>
      <x:c r="L125" s="10" t="n">
        <x:f>J125-(G125*K125)</x:f>
        <x:v>250547.04000000004</x:v>
      </x:c>
      <x:c r="M125" s="11" t="n">
        <x:f>IF(J125=0,0,L125/J125)</x:f>
        <x:v>0.6566953681710214</x:v>
      </x:c>
      <x:c r="N125" t="str">
        <x:v>Draft</x:v>
      </x:c>
    </x:row>
    <x:row r="126">
      <x:c r="A126" t="str">
        <x:v>FY26 Mid-Year Update</x:v>
      </x:c>
      <x:c r="B126" s="8" t="str">
        <x:v>2026-11-01</x:v>
      </x:c>
      <x:c r="C126" t="str">
        <x:v>Region A</x:v>
      </x:c>
      <x:c r="D126" t="str">
        <x:v>Direct Corporate Account</x:v>
      </x:c>
      <x:c r="E126" t="str">
        <x:v>RX-ONC-500</x:v>
      </x:c>
      <x:c r="F126" t="str">
        <x:v>Product Beta</x:v>
      </x:c>
      <x:c r="G126" s="9" t="n">
        <x:v>334</x:v>
      </x:c>
      <x:c r="H126" s="10" t="n">
        <x:v>6840</x:v>
      </x:c>
      <x:c r="I126" s="10" t="n">
        <x:v>6121.8</x:v>
      </x:c>
      <x:c r="J126" s="10" t="n">
        <x:f>G126*I126</x:f>
        <x:v>2044681.2</x:v>
      </x:c>
      <x:c r="K126" s="10" t="n">
        <x:v>2160</x:v>
      </x:c>
      <x:c r="L126" s="10" t="n">
        <x:f>J126-(G126*K126)</x:f>
        <x:v>1323241.2</x:v>
      </x:c>
      <x:c r="M126" s="11" t="n">
        <x:f>IF(J126=0,0,L126/J126)</x:f>
        <x:v>0.647162599235519</x:v>
      </x:c>
      <x:c r="N126" t="str">
        <x:v>Draft</x:v>
      </x:c>
    </x:row>
    <x:row r="127">
      <x:c r="A127" t="str">
        <x:v>FY26 Mid-Year Update</x:v>
      </x:c>
      <x:c r="B127" s="8" t="str">
        <x:v>2026-11-01</x:v>
      </x:c>
      <x:c r="C127" t="str">
        <x:v>Region B</x:v>
      </x:c>
      <x:c r="D127" t="str">
        <x:v>Hospital / Institution</x:v>
      </x:c>
      <x:c r="E127" t="str">
        <x:v>BIO-RA-200</x:v>
      </x:c>
      <x:c r="F127" t="str">
        <x:v>Product Gamma</x:v>
      </x:c>
      <x:c r="G127" s="9" t="n">
        <x:v>432</x:v>
      </x:c>
      <x:c r="H127" s="10" t="n">
        <x:v>1121</x:v>
      </x:c>
      <x:c r="I127" s="10" t="n">
        <x:v>986.1</x:v>
      </x:c>
      <x:c r="J127" s="10" t="n">
        <x:f>G127*I127</x:f>
        <x:v>425995.2</x:v>
      </x:c>
      <x:c r="K127" s="10" t="n">
        <x:v>413</x:v>
      </x:c>
      <x:c r="L127" s="10" t="n">
        <x:f>J127-(G127*K127)</x:f>
        <x:v>247579.2</x:v>
      </x:c>
      <x:c r="M127" s="11" t="n">
        <x:f>IF(J127=0,0,L127/J127)</x:f>
        <x:v>0.5811783794746983</x:v>
      </x:c>
      <x:c r="N127" t="str">
        <x:v>Draft</x:v>
      </x:c>
    </x:row>
    <x:row r="128">
      <x:c r="A128" t="str">
        <x:v>FY26 Mid-Year Update</x:v>
      </x:c>
      <x:c r="B128" s="8" t="str">
        <x:v>2026-11-01</x:v>
      </x:c>
      <x:c r="C128" t="str">
        <x:v>Region C</x:v>
      </x:c>
      <x:c r="D128" t="str">
        <x:v>Hospital / Institution</x:v>
      </x:c>
      <x:c r="E128" t="str">
        <x:v>RX-CARD-50</x:v>
      </x:c>
      <x:c r="F128" t="str">
        <x:v>Product Delta</x:v>
      </x:c>
      <x:c r="G128" s="9" t="n">
        <x:v>530</x:v>
      </x:c>
      <x:c r="H128" s="10" t="n">
        <x:v>394.8</x:v>
      </x:c>
      <x:c r="I128" s="10" t="n">
        <x:v>341.22</x:v>
      </x:c>
      <x:c r="J128" s="10" t="n">
        <x:f>G128*I128</x:f>
        <x:v>180846.6</x:v>
      </x:c>
      <x:c r="K128" s="10" t="n">
        <x:v>147</x:v>
      </x:c>
      <x:c r="L128" s="10" t="n">
        <x:f>J128-(G128*K128)</x:f>
        <x:v>102936.6</x:v>
      </x:c>
      <x:c r="M128" s="11" t="n">
        <x:f>IF(J128=0,0,L128/J128)</x:f>
        <x:v>0.5691928960787762</x:v>
      </x:c>
      <x:c r="N128" t="str">
        <x:v>Draft</x:v>
      </x:c>
    </x:row>
    <x:row r="129">
      <x:c r="A129" t="str">
        <x:v>FY26 Mid-Year Update</x:v>
      </x:c>
      <x:c r="B129" s="8" t="str">
        <x:v>2026-11-01</x:v>
      </x:c>
      <x:c r="C129" t="str">
        <x:v>Region C</x:v>
      </x:c>
      <x:c r="D129" t="str">
        <x:v>Retail / Pharmacy Chain</x:v>
      </x:c>
      <x:c r="E129" t="str">
        <x:v>RX-RARE-10</x:v>
      </x:c>
      <x:c r="F129" t="str">
        <x:v>Product Epsilon</x:v>
      </x:c>
      <x:c r="G129" s="9" t="n">
        <x:v>628</x:v>
      </x:c>
      <x:c r="H129" s="10" t="n">
        <x:v>27170</x:v>
      </x:c>
      <x:c r="I129" s="10" t="n">
        <x:v>23094.5</x:v>
      </x:c>
      <x:c r="J129" s="10" t="n">
        <x:f>G129*I129</x:f>
        <x:v>14503346</x:v>
      </x:c>
      <x:c r="K129" s="10" t="n">
        <x:v>7150</x:v>
      </x:c>
      <x:c r="L129" s="10" t="n">
        <x:f>J129-(G129*K129)</x:f>
        <x:v>10013146</x:v>
      </x:c>
      <x:c r="M129" s="11" t="n">
        <x:f>IF(J129=0,0,L129/J129)</x:f>
        <x:v>0.6904024767801857</x:v>
      </x:c>
      <x:c r="N129" t="str">
        <x:v>Draft</x:v>
      </x:c>
    </x:row>
    <x:row r="130">
      <x:c r="A130" t="str">
        <x:v>FY26 Mid-Year Update</x:v>
      </x:c>
      <x:c r="B130" s="8" t="str">
        <x:v>2026-11-01</x:v>
      </x:c>
      <x:c r="C130" t="str">
        <x:v>Region A</x:v>
      </x:c>
      <x:c r="D130" t="str">
        <x:v>Buying Group</x:v>
      </x:c>
      <x:c r="E130" t="str">
        <x:v>DX-COMP-01</x:v>
      </x:c>
      <x:c r="F130" t="str">
        <x:v>Product Zeta</x:v>
      </x:c>
      <x:c r="G130" s="9" t="n">
        <x:v>726</x:v>
      </x:c>
      <x:c r="H130" s="10" t="n">
        <x:v>902.5</x:v>
      </x:c>
      <x:c r="I130" s="10" t="n">
        <x:v>753.3499999999999</x:v>
      </x:c>
      <x:c r="J130" s="10" t="n">
        <x:f>G130*I130</x:f>
        <x:v>546932.1</x:v>
      </x:c>
      <x:c r="K130" s="10" t="n">
        <x:v>333</x:v>
      </x:c>
      <x:c r="L130" s="10" t="n">
        <x:f>J130-(G130*K130)</x:f>
        <x:v>305174.1</x:v>
      </x:c>
      <x:c r="M130" s="11" t="n">
        <x:f>IF(J130=0,0,L130/J130)</x:f>
        <x:v>0.5579743810977633</x:v>
      </x:c>
      <x:c r="N130" t="str">
        <x:v>Draft</x:v>
      </x:c>
    </x:row>
    <x:row r="131">
      <x:c r="A131" t="str">
        <x:v>FY26 Mid-Year Update</x:v>
      </x:c>
      <x:c r="B131" s="8" t="str">
        <x:v>2026-11-01</x:v>
      </x:c>
      <x:c r="C131" t="str">
        <x:v>Region B</x:v>
      </x:c>
      <x:c r="D131" t="str">
        <x:v>Buying Group</x:v>
      </x:c>
      <x:c r="E131" t="str">
        <x:v>RX-HOSP-20</x:v>
      </x:c>
      <x:c r="F131" t="str">
        <x:v>Product Eta</x:v>
      </x:c>
      <x:c r="G131" s="9" t="n">
        <x:v>824</x:v>
      </x:c>
      <x:c r="H131" s="10" t="n">
        <x:v>1240.8</x:v>
      </x:c>
      <x:c r="I131" s="10" t="n">
        <x:v>1017.0799999999999</x:v>
      </x:c>
      <x:c r="J131" s="10" t="n">
        <x:f>G131*I131</x:f>
        <x:v>838073.9199999999</x:v>
      </x:c>
      <x:c r="K131" s="10" t="n">
        <x:v>462</x:v>
      </x:c>
      <x:c r="L131" s="10" t="n">
        <x:f>J131-(G131*K131)</x:f>
        <x:v>457385.9199999999</x:v>
      </x:c>
      <x:c r="M131" s="11" t="n">
        <x:f>IF(J131=0,0,L131/J131)</x:f>
        <x:v>0.5457584457466472</x:v>
      </x:c>
      <x:c r="N131" t="str">
        <x:v>Draft</x:v>
      </x:c>
    </x:row>
    <x:row r="132">
      <x:c r="A132" t="str">
        <x:v>FY26 Mid-Year Update</x:v>
      </x:c>
      <x:c r="B132" s="8" t="str">
        <x:v>2026-11-01</x:v>
      </x:c>
      <x:c r="C132" t="str">
        <x:v>Region C</x:v>
      </x:c>
      <x:c r="D132" t="str">
        <x:v>Distributor</x:v>
      </x:c>
      <x:c r="E132" t="str">
        <x:v>BIO-DERM-80</x:v>
      </x:c>
      <x:c r="F132" t="str">
        <x:v>Product Theta</x:v>
      </x:c>
      <x:c r="G132" s="9" t="n">
        <x:v>922</x:v>
      </x:c>
      <x:c r="H132" s="10" t="n">
        <x:v>931</x:v>
      </x:c>
      <x:c r="I132" s="10" t="n">
        <x:v>874.95</x:v>
      </x:c>
      <x:c r="J132" s="10" t="n">
        <x:f>G132*I132</x:f>
        <x:v>806703.9</x:v>
      </x:c>
      <x:c r="K132" s="10" t="n">
        <x:v>343</x:v>
      </x:c>
      <x:c r="L132" s="10" t="n">
        <x:f>J132-(G132*K132)</x:f>
        <x:v>490457.9</x:v>
      </x:c>
      <x:c r="M132" s="11" t="n">
        <x:f>IF(J132=0,0,L132/J132)</x:f>
        <x:v>0.6079775987199268</x:v>
      </x:c>
      <x:c r="N132" t="str">
        <x:v>Draft</x:v>
      </x:c>
    </x:row>
    <x:row r="133">
      <x:c r="A133" t="str">
        <x:v>FY26 Mid-Year Update</x:v>
      </x:c>
      <x:c r="B133" s="8" t="str">
        <x:v>2026-11-01</x:v>
      </x:c>
      <x:c r="C133" t="str">
        <x:v>Region C</x:v>
      </x:c>
      <x:c r="D133" t="str">
        <x:v>Hospital / Institution</x:v>
      </x:c>
      <x:c r="E133" t="str">
        <x:v>RX-ONC-ORAL</x:v>
      </x:c>
      <x:c r="F133" t="str">
        <x:v>Product Iota</x:v>
      </x:c>
      <x:c r="G133" s="9" t="n">
        <x:v>1020</x:v>
      </x:c>
      <x:c r="H133" s="10" t="n">
        <x:v>9024</x:v>
      </x:c>
      <x:c r="I133" s="10" t="n">
        <x:v>8347.2</x:v>
      </x:c>
      <x:c r="J133" s="10" t="n">
        <x:f>G133*I133</x:f>
        <x:v>8514144</x:v>
      </x:c>
      <x:c r="K133" s="10" t="n">
        <x:v>2820</x:v>
      </x:c>
      <x:c r="L133" s="10" t="n">
        <x:f>J133-(G133*K133)</x:f>
        <x:v>5637744</x:v>
      </x:c>
      <x:c r="M133" s="11" t="n">
        <x:f>IF(J133=0,0,L133/J133)</x:f>
        <x:v>0.6621621621621622</x:v>
      </x:c>
      <x:c r="N133" t="str">
        <x:v>Draft</x:v>
      </x:c>
    </x:row>
    <x:row r="134">
      <x:c r="A134" t="str">
        <x:v>FY26 Mid-Year Update</x:v>
      </x:c>
      <x:c r="B134" s="8" t="str">
        <x:v>2026-11-01</x:v>
      </x:c>
      <x:c r="C134" t="str">
        <x:v>Region A</x:v>
      </x:c>
      <x:c r="D134" t="str">
        <x:v>Direct Corporate Account</x:v>
      </x:c>
      <x:c r="E134" t="str">
        <x:v>RX-RARE-INF</x:v>
      </x:c>
      <x:c r="F134" t="str">
        <x:v>Product Kappa</x:v>
      </x:c>
      <x:c r="G134" s="9" t="n">
        <x:v>1118</x:v>
      </x:c>
      <x:c r="H134" s="10" t="n">
        <x:v>33060</x:v>
      </x:c>
      <x:c r="I134" s="10" t="n">
        <x:v>30084.600000000002</x:v>
      </x:c>
      <x:c r="J134" s="10" t="n">
        <x:f>G134*I134</x:f>
        <x:v>33634582.800000004</x:v>
      </x:c>
      <x:c r="K134" s="10" t="n">
        <x:v>8700</x:v>
      </x:c>
      <x:c r="L134" s="10" t="n">
        <x:f>J134-(G134*K134)</x:f>
        <x:v>23907982.800000004</x:v>
      </x:c>
      <x:c r="M134" s="11" t="n">
        <x:f>IF(J134=0,0,L134/J134)</x:f>
        <x:v>0.7108155002891845</x:v>
      </x:c>
      <x:c r="N134" t="str">
        <x:v>Draft</x:v>
      </x:c>
    </x:row>
    <x:row r="135">
      <x:c r="A135" t="str">
        <x:v>FY26 Mid-Year Update</x:v>
      </x:c>
      <x:c r="B135" s="8" t="str">
        <x:v>2026-11-01</x:v>
      </x:c>
      <x:c r="C135" t="str">
        <x:v>Region B</x:v>
      </x:c>
      <x:c r="D135" t="str">
        <x:v>Hospital / Institution</x:v>
      </x:c>
      <x:c r="E135" t="str">
        <x:v>DX-GENE-02</x:v>
      </x:c>
      <x:c r="F135" t="str">
        <x:v>Product Lambda</x:v>
      </x:c>
      <x:c r="G135" s="9" t="n">
        <x:v>1216</x:v>
      </x:c>
      <x:c r="H135" s="10" t="n">
        <x:v>1216</x:v>
      </x:c>
      <x:c r="I135" s="10" t="n">
        <x:v>1088.7</x:v>
      </x:c>
      <x:c r="J135" s="10" t="n">
        <x:f>G135*I135</x:f>
        <x:v>1323859.2</x:v>
      </x:c>
      <x:c r="K135" s="10" t="n">
        <x:v>448</x:v>
      </x:c>
      <x:c r="L135" s="10" t="n">
        <x:f>J135-(G135*K135)</x:f>
        <x:v>779091.2</x:v>
      </x:c>
      <x:c r="M135" s="11" t="n">
        <x:f>IF(J135=0,0,L135/J135)</x:f>
        <x:v>0.5885000459263341</x:v>
      </x:c>
      <x:c r="N135" t="str">
        <x:v>Draft</x:v>
      </x:c>
    </x:row>
    <x:row r="136">
      <x:c r="A136" t="str">
        <x:v>FY26 Mid-Year Update</x:v>
      </x:c>
      <x:c r="B136" s="8" t="str">
        <x:v>2026-11-01</x:v>
      </x:c>
      <x:c r="C136" t="str">
        <x:v>Region C</x:v>
      </x:c>
      <x:c r="D136" t="str">
        <x:v>Hospital / Institution</x:v>
      </x:c>
      <x:c r="E136" t="str">
        <x:v>SVC-PAT-01</x:v>
      </x:c>
      <x:c r="F136" t="str">
        <x:v>Product Mu</x:v>
      </x:c>
      <x:c r="G136" s="9" t="n">
        <x:v>1314</x:v>
      </x:c>
      <x:c r="H136" s="10" t="n">
        <x:v>42000</x:v>
      </x:c>
      <x:c r="I136" s="10" t="n">
        <x:v>36960</x:v>
      </x:c>
      <x:c r="J136" s="10" t="n">
        <x:f>G136*I136</x:f>
        <x:v>48565440</x:v>
      </x:c>
      <x:c r="K136" s="10" t="n">
        <x:v>16800</x:v>
      </x:c>
      <x:c r="L136" s="10" t="n">
        <x:f>J136-(G136*K136)</x:f>
        <x:v>26490240</x:v>
      </x:c>
      <x:c r="M136" s="11" t="n">
        <x:f>IF(J136=0,0,L136/J136)</x:f>
        <x:v>0.5454545454545454</x:v>
      </x:c>
      <x:c r="N136" t="str">
        <x:v>Draft</x:v>
      </x:c>
    </x:row>
    <x:row r="137">
      <x:c r="A137" t="str">
        <x:v>FY26 Mid-Year Update</x:v>
      </x:c>
      <x:c r="B137" s="8" t="str">
        <x:v>2026-12-01</x:v>
      </x:c>
      <x:c r="C137" t="str">
        <x:v>Region A</x:v>
      </x:c>
      <x:c r="D137" t="str">
        <x:v>Direct Corporate Account</x:v>
      </x:c>
      <x:c r="E137" t="str">
        <x:v>RX-ONC-100</x:v>
      </x:c>
      <x:c r="F137" t="str">
        <x:v>Product Alpha</x:v>
      </x:c>
      <x:c r="G137" s="9" t="n">
        <x:v>250</x:v>
      </x:c>
      <x:c r="H137" s="10" t="n">
        <x:v>1776</x:v>
      </x:c>
      <x:c r="I137" s="10" t="n">
        <x:v>1589.76</x:v>
      </x:c>
      <x:c r="J137" s="10" t="n">
        <x:f>G137*I137</x:f>
        <x:v>397440</x:v>
      </x:c>
      <x:c r="K137" s="10" t="n">
        <x:v>555</x:v>
      </x:c>
      <x:c r="L137" s="10" t="n">
        <x:f>J137-(G137*K137)</x:f>
        <x:v>258690</x:v>
      </x:c>
      <x:c r="M137" s="11" t="n">
        <x:f>IF(J137=0,0,L137/J137)</x:f>
        <x:v>0.6508907004830918</x:v>
      </x:c>
      <x:c r="N137" t="str">
        <x:v>Draft</x:v>
      </x:c>
    </x:row>
    <x:row r="138">
      <x:c r="A138" t="str">
        <x:v>FY26 Mid-Year Update</x:v>
      </x:c>
      <x:c r="B138" s="8" t="str">
        <x:v>2026-12-01</x:v>
      </x:c>
      <x:c r="C138" t="str">
        <x:v>Region B</x:v>
      </x:c>
      <x:c r="D138" t="str">
        <x:v>Hospital / Institution</x:v>
      </x:c>
      <x:c r="E138" t="str">
        <x:v>RX-ONC-500</x:v>
      </x:c>
      <x:c r="F138" t="str">
        <x:v>Product Beta</x:v>
      </x:c>
      <x:c r="G138" s="9" t="n">
        <x:v>355</x:v>
      </x:c>
      <x:c r="H138" s="10" t="n">
        <x:v>6840</x:v>
      </x:c>
      <x:c r="I138" s="10" t="n">
        <x:v>6019.2</x:v>
      </x:c>
      <x:c r="J138" s="10" t="n">
        <x:f>G138*I138</x:f>
        <x:v>2136816</x:v>
      </x:c>
      <x:c r="K138" s="10" t="n">
        <x:v>2160</x:v>
      </x:c>
      <x:c r="L138" s="10" t="n">
        <x:f>J138-(G138*K138)</x:f>
        <x:v>1370016</x:v>
      </x:c>
      <x:c r="M138" s="11" t="n">
        <x:f>IF(J138=0,0,L138/J138)</x:f>
        <x:v>0.6411483253588517</x:v>
      </x:c>
      <x:c r="N138" t="str">
        <x:v>Draft</x:v>
      </x:c>
    </x:row>
    <x:row r="139">
      <x:c r="A139" t="str">
        <x:v>FY26 Mid-Year Update</x:v>
      </x:c>
      <x:c r="B139" s="8" t="str">
        <x:v>2026-12-01</x:v>
      </x:c>
      <x:c r="C139" t="str">
        <x:v>Region C</x:v>
      </x:c>
      <x:c r="D139" t="str">
        <x:v>Hospital / Institution</x:v>
      </x:c>
      <x:c r="E139" t="str">
        <x:v>BIO-RA-200</x:v>
      </x:c>
      <x:c r="F139" t="str">
        <x:v>Product Gamma</x:v>
      </x:c>
      <x:c r="G139" s="9" t="n">
        <x:v>460</x:v>
      </x:c>
      <x:c r="H139" s="10" t="n">
        <x:v>1121</x:v>
      </x:c>
      <x:c r="I139" s="10" t="n">
        <x:v>969.9499999999999</x:v>
      </x:c>
      <x:c r="J139" s="10" t="n">
        <x:f>G139*I139</x:f>
        <x:v>446176.99999999994</x:v>
      </x:c>
      <x:c r="K139" s="10" t="n">
        <x:v>413</x:v>
      </x:c>
      <x:c r="L139" s="10" t="n">
        <x:f>J139-(G139*K139)</x:f>
        <x:v>256196.99999999994</x:v>
      </x:c>
      <x:c r="M139" s="11" t="n">
        <x:f>IF(J139=0,0,L139/J139)</x:f>
        <x:v>0.5742048559204083</x:v>
      </x:c>
      <x:c r="N139" t="str">
        <x:v>Draft</x:v>
      </x:c>
    </x:row>
    <x:row r="140">
      <x:c r="A140" t="str">
        <x:v>FY26 Mid-Year Update</x:v>
      </x:c>
      <x:c r="B140" s="8" t="str">
        <x:v>2026-12-01</x:v>
      </x:c>
      <x:c r="C140" t="str">
        <x:v>Region C</x:v>
      </x:c>
      <x:c r="D140" t="str">
        <x:v>Retail / Pharmacy Chain</x:v>
      </x:c>
      <x:c r="E140" t="str">
        <x:v>RX-CARD-50</x:v>
      </x:c>
      <x:c r="F140" t="str">
        <x:v>Product Delta</x:v>
      </x:c>
      <x:c r="G140" s="9" t="n">
        <x:v>565</x:v>
      </x:c>
      <x:c r="H140" s="10" t="n">
        <x:v>394.8</x:v>
      </x:c>
      <x:c r="I140" s="10" t="n">
        <x:v>335.58</x:v>
      </x:c>
      <x:c r="J140" s="10" t="n">
        <x:f>G140*I140</x:f>
        <x:v>189602.69999999998</x:v>
      </x:c>
      <x:c r="K140" s="10" t="n">
        <x:v>147</x:v>
      </x:c>
      <x:c r="L140" s="10" t="n">
        <x:f>J140-(G140*K140)</x:f>
        <x:v>106547.69999999998</x:v>
      </x:c>
      <x:c r="M140" s="11" t="n">
        <x:f>IF(J140=0,0,L140/J140)</x:f>
        <x:v>0.5619524405506883</x:v>
      </x:c>
      <x:c r="N140" t="str">
        <x:v>Draft</x:v>
      </x:c>
    </x:row>
    <x:row r="141">
      <x:c r="A141" t="str">
        <x:v>FY26 Mid-Year Update</x:v>
      </x:c>
      <x:c r="B141" s="8" t="str">
        <x:v>2026-12-01</x:v>
      </x:c>
      <x:c r="C141" t="str">
        <x:v>Region A</x:v>
      </x:c>
      <x:c r="D141" t="str">
        <x:v>Buying Group</x:v>
      </x:c>
      <x:c r="E141" t="str">
        <x:v>RX-RARE-10</x:v>
      </x:c>
      <x:c r="F141" t="str">
        <x:v>Product Epsilon</x:v>
      </x:c>
      <x:c r="G141" s="9" t="n">
        <x:v>670</x:v>
      </x:c>
      <x:c r="H141" s="10" t="n">
        <x:v>27170</x:v>
      </x:c>
      <x:c r="I141" s="10" t="n">
        <x:v>22686.95</x:v>
      </x:c>
      <x:c r="J141" s="10" t="n">
        <x:f>G141*I141</x:f>
        <x:v>15200256.5</x:v>
      </x:c>
      <x:c r="K141" s="10" t="n">
        <x:v>7150</x:v>
      </x:c>
      <x:c r="L141" s="10" t="n">
        <x:f>J141-(G141*K141)</x:f>
        <x:v>10409756.5</x:v>
      </x:c>
      <x:c r="M141" s="11" t="n">
        <x:f>IF(J141=0,0,L141/J141)</x:f>
        <x:v>0.6848408446265364</x:v>
      </x:c>
      <x:c r="N141" t="str">
        <x:v>Draft</x:v>
      </x:c>
    </x:row>
    <x:row r="142">
      <x:c r="A142" t="str">
        <x:v>FY26 Mid-Year Update</x:v>
      </x:c>
      <x:c r="B142" s="8" t="str">
        <x:v>2026-12-01</x:v>
      </x:c>
      <x:c r="C142" t="str">
        <x:v>Region B</x:v>
      </x:c>
      <x:c r="D142" t="str">
        <x:v>Buying Group</x:v>
      </x:c>
      <x:c r="E142" t="str">
        <x:v>DX-COMP-01</x:v>
      </x:c>
      <x:c r="F142" t="str">
        <x:v>Product Zeta</x:v>
      </x:c>
      <x:c r="G142" s="9" t="n">
        <x:v>775</x:v>
      </x:c>
      <x:c r="H142" s="10" t="n">
        <x:v>902.5</x:v>
      </x:c>
      <x:c r="I142" s="10" t="n">
        <x:v>740.05</x:v>
      </x:c>
      <x:c r="J142" s="10" t="n">
        <x:f>G142*I142</x:f>
        <x:v>573538.75</x:v>
      </x:c>
      <x:c r="K142" s="10" t="n">
        <x:v>333</x:v>
      </x:c>
      <x:c r="L142" s="10" t="n">
        <x:f>J142-(G142*K142)</x:f>
        <x:v>315463.75</x:v>
      </x:c>
      <x:c r="M142" s="11" t="n">
        <x:f>IF(J142=0,0,L142/J142)</x:f>
        <x:v>0.550030403351125</x:v>
      </x:c>
      <x:c r="N142" t="str">
        <x:v>Draft</x:v>
      </x:c>
    </x:row>
    <x:row r="143">
      <x:c r="A143" t="str">
        <x:v>FY26 Mid-Year Update</x:v>
      </x:c>
      <x:c r="B143" s="8" t="str">
        <x:v>2026-12-01</x:v>
      </x:c>
      <x:c r="C143" t="str">
        <x:v>Region C</x:v>
      </x:c>
      <x:c r="D143" t="str">
        <x:v>Distributor</x:v>
      </x:c>
      <x:c r="E143" t="str">
        <x:v>RX-HOSP-20</x:v>
      </x:c>
      <x:c r="F143" t="str">
        <x:v>Product Eta</x:v>
      </x:c>
      <x:c r="G143" s="9" t="n">
        <x:v>880</x:v>
      </x:c>
      <x:c r="H143" s="10" t="n">
        <x:v>1240.8</x:v>
      </x:c>
      <x:c r="I143" s="10" t="n">
        <x:v>1166.54</x:v>
      </x:c>
      <x:c r="J143" s="10" t="n">
        <x:f>G143*I143</x:f>
        <x:v>1026555.2</x:v>
      </x:c>
      <x:c r="K143" s="10" t="n">
        <x:v>462</x:v>
      </x:c>
      <x:c r="L143" s="10" t="n">
        <x:f>J143-(G143*K143)</x:f>
        <x:v>619995.2</x:v>
      </x:c>
      <x:c r="M143" s="11" t="n">
        <x:f>IF(J143=0,0,L143/J143)</x:f>
        <x:v>0.6039570010458278</x:v>
      </x:c>
      <x:c r="N143" t="str">
        <x:v>Draft</x:v>
      </x:c>
    </x:row>
    <x:row r="144">
      <x:c r="A144" t="str">
        <x:v>FY26 Mid-Year Update</x:v>
      </x:c>
      <x:c r="B144" s="8" t="str">
        <x:v>2026-12-01</x:v>
      </x:c>
      <x:c r="C144" t="str">
        <x:v>Region C</x:v>
      </x:c>
      <x:c r="D144" t="str">
        <x:v>Hospital / Institution</x:v>
      </x:c>
      <x:c r="E144" t="str">
        <x:v>BIO-DERM-80</x:v>
      </x:c>
      <x:c r="F144" t="str">
        <x:v>Product Theta</x:v>
      </x:c>
      <x:c r="G144" s="9" t="n">
        <x:v>985</x:v>
      </x:c>
      <x:c r="H144" s="10" t="n">
        <x:v>931</x:v>
      </x:c>
      <x:c r="I144" s="10" t="n">
        <x:v>861.65</x:v>
      </x:c>
      <x:c r="J144" s="10" t="n">
        <x:f>G144*I144</x:f>
        <x:v>848725.25</x:v>
      </x:c>
      <x:c r="K144" s="10" t="n">
        <x:v>343</x:v>
      </x:c>
      <x:c r="L144" s="10" t="n">
        <x:f>J144-(G144*K144)</x:f>
        <x:v>510870.25</x:v>
      </x:c>
      <x:c r="M144" s="11" t="n">
        <x:f>IF(J144=0,0,L144/J144)</x:f>
        <x:v>0.6019265362966402</x:v>
      </x:c>
      <x:c r="N144" t="str">
        <x:v>Draft</x:v>
      </x:c>
    </x:row>
    <x:row r="145">
      <x:c r="A145" t="str">
        <x:v>FY26 Mid-Year Update</x:v>
      </x:c>
      <x:c r="B145" s="8" t="str">
        <x:v>2026-12-01</x:v>
      </x:c>
      <x:c r="C145" t="str">
        <x:v>Region A</x:v>
      </x:c>
      <x:c r="D145" t="str">
        <x:v>Direct Corporate Account</x:v>
      </x:c>
      <x:c r="E145" t="str">
        <x:v>RX-ONC-ORAL</x:v>
      </x:c>
      <x:c r="F145" t="str">
        <x:v>Product Iota</x:v>
      </x:c>
      <x:c r="G145" s="9" t="n">
        <x:v>1090</x:v>
      </x:c>
      <x:c r="H145" s="10" t="n">
        <x:v>9024</x:v>
      </x:c>
      <x:c r="I145" s="10" t="n">
        <x:v>8211.84</x:v>
      </x:c>
      <x:c r="J145" s="10" t="n">
        <x:f>G145*I145</x:f>
        <x:v>8950905.6</x:v>
      </x:c>
      <x:c r="K145" s="10" t="n">
        <x:v>2820</x:v>
      </x:c>
      <x:c r="L145" s="10" t="n">
        <x:f>J145-(G145*K145)</x:f>
        <x:v>5877105.6</x:v>
      </x:c>
      <x:c r="M145" s="11" t="n">
        <x:f>IF(J145=0,0,L145/J145)</x:f>
        <x:v>0.6565934065934066</x:v>
      </x:c>
      <x:c r="N145" t="str">
        <x:v>Draft</x:v>
      </x:c>
    </x:row>
    <x:row r="146">
      <x:c r="A146" t="str">
        <x:v>FY26 Mid-Year Update</x:v>
      </x:c>
      <x:c r="B146" s="8" t="str">
        <x:v>2026-12-01</x:v>
      </x:c>
      <x:c r="C146" t="str">
        <x:v>Region B</x:v>
      </x:c>
      <x:c r="D146" t="str">
        <x:v>Hospital / Institution</x:v>
      </x:c>
      <x:c r="E146" t="str">
        <x:v>RX-RARE-INF</x:v>
      </x:c>
      <x:c r="F146" t="str">
        <x:v>Product Kappa</x:v>
      </x:c>
      <x:c r="G146" s="9" t="n">
        <x:v>1195</x:v>
      </x:c>
      <x:c r="H146" s="10" t="n">
        <x:v>33060</x:v>
      </x:c>
      <x:c r="I146" s="10" t="n">
        <x:v>29588.7</x:v>
      </x:c>
      <x:c r="J146" s="10" t="n">
        <x:f>G146*I146</x:f>
        <x:v>35358496.5</x:v>
      </x:c>
      <x:c r="K146" s="10" t="n">
        <x:v>8700</x:v>
      </x:c>
      <x:c r="L146" s="10" t="n">
        <x:f>J146-(G146*K146)</x:f>
        <x:v>24961996.5</x:v>
      </x:c>
      <x:c r="M146" s="11" t="n">
        <x:f>IF(J146=0,0,L146/J146)</x:f>
        <x:v>0.7059688326962658</x:v>
      </x:c>
      <x:c r="N146" t="str">
        <x:v>Draft</x:v>
      </x:c>
    </x:row>
    <x:row r="147">
      <x:c r="A147" t="str">
        <x:v>FY26 Mid-Year Update</x:v>
      </x:c>
      <x:c r="B147" s="8" t="str">
        <x:v>2026-12-01</x:v>
      </x:c>
      <x:c r="C147" t="str">
        <x:v>Region C</x:v>
      </x:c>
      <x:c r="D147" t="str">
        <x:v>Hospital / Institution</x:v>
      </x:c>
      <x:c r="E147" t="str">
        <x:v>DX-GENE-02</x:v>
      </x:c>
      <x:c r="F147" t="str">
        <x:v>Product Lambda</x:v>
      </x:c>
      <x:c r="G147" s="9" t="n">
        <x:v>1300</x:v>
      </x:c>
      <x:c r="H147" s="10" t="n">
        <x:v>1216</x:v>
      </x:c>
      <x:c r="I147" s="10" t="n">
        <x:v>1069.7</x:v>
      </x:c>
      <x:c r="J147" s="10" t="n">
        <x:f>G147*I147</x:f>
        <x:v>1390610</x:v>
      </x:c>
      <x:c r="K147" s="10" t="n">
        <x:v>448</x:v>
      </x:c>
      <x:c r="L147" s="10" t="n">
        <x:f>J147-(G147*K147)</x:f>
        <x:v>808210</x:v>
      </x:c>
      <x:c r="M147" s="11" t="n">
        <x:f>IF(J147=0,0,L147/J147)</x:f>
        <x:v>0.5811909881275124</x:v>
      </x:c>
      <x:c r="N147" t="str">
        <x:v>Draft</x:v>
      </x:c>
    </x:row>
    <x:row r="148">
      <x:c r="A148" t="str">
        <x:v>FY26 Mid-Year Update</x:v>
      </x:c>
      <x:c r="B148" s="8" t="str">
        <x:v>2026-12-01</x:v>
      </x:c>
      <x:c r="C148" t="str">
        <x:v>Region C</x:v>
      </x:c>
      <x:c r="D148" t="str">
        <x:v>Retail / Pharmacy Chain</x:v>
      </x:c>
      <x:c r="E148" t="str">
        <x:v>SVC-PAT-01</x:v>
      </x:c>
      <x:c r="F148" t="str">
        <x:v>Product Mu</x:v>
      </x:c>
      <x:c r="G148" s="9" t="n">
        <x:v>1405</x:v>
      </x:c>
      <x:c r="H148" s="10" t="n">
        <x:v>42000</x:v>
      </x:c>
      <x:c r="I148" s="10" t="n">
        <x:v>36330</x:v>
      </x:c>
      <x:c r="J148" s="10" t="n">
        <x:f>G148*I148</x:f>
        <x:v>51043650</x:v>
      </x:c>
      <x:c r="K148" s="10" t="n">
        <x:v>16800</x:v>
      </x:c>
      <x:c r="L148" s="10" t="n">
        <x:f>J148-(G148*K148)</x:f>
        <x:v>27439650</x:v>
      </x:c>
      <x:c r="M148" s="11" t="n">
        <x:f>IF(J148=0,0,L148/J148)</x:f>
        <x:v>0.5375722543352601</x:v>
      </x:c>
      <x:c r="N148" t="str">
        <x:v>Draft</x:v>
      </x:c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0e26a9a1b62a4ce8"/>
  </x:tableParts>
</x:worksheet>
</file>