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0dbd5ff9147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erence Data" sheetId="1" r:id="R184aa53a9ecd416f"/>
    <x:sheet xmlns:r="http://schemas.openxmlformats.org/officeDocument/2006/relationships" name="Base Inputs" sheetId="2" r:id="R0a0cb2eea9164634"/>
    <x:sheet xmlns:r="http://schemas.openxmlformats.org/officeDocument/2006/relationships" name="Sensitivity Inputs" sheetId="3" r:id="R58fb400e19c940b4"/>
    <x:sheet xmlns:r="http://schemas.openxmlformats.org/officeDocument/2006/relationships" name="Calculation Engine" sheetId="4" r:id="Rd8457ac4062a4b8d"/>
    <x:sheet xmlns:r="http://schemas.openxmlformats.org/officeDocument/2006/relationships" name="P&amp;L" sheetId="5" r:id="R9cdcd36244444e58"/>
    <x:sheet xmlns:r="http://schemas.openxmlformats.org/officeDocument/2006/relationships" name="Outputs" sheetId="6" r:id="Rf6a133ccfbdf41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sz val="10"/>
      <x:color rgb="FF23354D"/>
      <x:name val="Aptos"/>
    </x:font>
    <x:font>
      <x:b/>
      <x:sz val="10"/>
      <x:color rgb="FF17324D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EAF0F6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884a5a5fe14640" /><Relationship Type="http://schemas.openxmlformats.org/officeDocument/2006/relationships/theme" Target="/xl/theme/theme1.xml" Id="Ra6e0ba11894b488d" /><Relationship Type="http://schemas.openxmlformats.org/officeDocument/2006/relationships/sharedStrings" Target="/xl/sharedStrings.xml" Id="R2aa1beace20a4cd6" /><Relationship Type="http://schemas.openxmlformats.org/officeDocument/2006/relationships/worksheet" Target="/xl/worksheets/sheet1.xml" Id="R184aa53a9ecd416f" /><Relationship Type="http://schemas.openxmlformats.org/officeDocument/2006/relationships/worksheet" Target="/xl/worksheets/sheet2.xml" Id="R0a0cb2eea9164634" /><Relationship Type="http://schemas.openxmlformats.org/officeDocument/2006/relationships/worksheet" Target="/xl/worksheets/sheet3.xml" Id="R58fb400e19c940b4" /><Relationship Type="http://schemas.openxmlformats.org/officeDocument/2006/relationships/worksheet" Target="/xl/worksheets/sheet4.xml" Id="Rd8457ac4062a4b8d" /><Relationship Type="http://schemas.openxmlformats.org/officeDocument/2006/relationships/worksheet" Target="/xl/worksheets/sheet5.xml" Id="R9cdcd36244444e58" /><Relationship Type="http://schemas.openxmlformats.org/officeDocument/2006/relationships/worksheet" Target="/xl/worksheets/sheet6.xml" Id="Rf6a133ccfbdf41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130000114440918" hidden="0" customWidth="1"/>
    <x:col min="2" max="2" width="4.380000114440918" hidden="0" customWidth="1"/>
    <x:col min="3" max="3" width="4.130000114440918" hidden="0" customWidth="1"/>
    <x:col min="4" max="4" width="23.3799991607666" hidden="0" customWidth="1"/>
  </x:cols>
  <x:sheetData>
    <x:row r="1" ht="15" hidden="0" customHeight="1">
      <x:c r="A1" s="5" t="str">
        <x:v>Reference</x:v>
      </x:c>
      <x:c r="B1" s="5" t="str">
        <x:v>Value</x:v>
      </x:c>
      <x:c r="C1" s="5" t="str">
        <x:v>Unit</x:v>
      </x:c>
      <x:c r="D1" s="5" t="str">
        <x:v>Source</x:v>
      </x:c>
    </x:row>
    <x:row r="2" ht="15" hidden="0" customHeight="1">
      <x:c r="A2" s="3" t="str">
        <x:v>Discount Rate</x:v>
      </x:c>
      <x:c r="B2" s="6" t="n">
        <x:v>0.1</x:v>
      </x:c>
      <x:c r="C2" s="3" t="str">
        <x:v>%</x:v>
      </x:c>
      <x:c r="D2" s="3" t="str">
        <x:v>Corporate Launch Discount Rate</x:v>
      </x:c>
    </x:row>
    <x:row r="3" ht="15" hidden="0" customHeight="1">
      <x:c r="A3" s="3" t="str">
        <x:v>Forecast Years</x:v>
      </x:c>
      <x:c r="B3" s="3" t="n">
        <x:v>5</x:v>
      </x:c>
      <x:c r="C3" s="3" t="str">
        <x:v>Years</x:v>
      </x:c>
      <x:c r="D3" s="3" t="str">
        <x:v>Launch Sandbox standard horizon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.380000114440918" hidden="0" customWidth="1"/>
    <x:col min="3" max="3" width="19" hidden="0" customWidth="1"/>
    <x:col min="4" max="4" width="4.75" hidden="0" customWidth="1"/>
    <x:col min="5" max="5" width="4.75" hidden="0" customWidth="1"/>
    <x:col min="6" max="6" width="4.75" hidden="0" customWidth="1"/>
    <x:col min="7" max="7" width="4.75" hidden="0" customWidth="1"/>
    <x:col min="8" max="8" width="4.75" hidden="0" customWidth="1"/>
  </x:cols>
  <x:sheetData>
    <x:row r="1" ht="15" hidden="0" customHeight="1">
      <x:c r="A1" s="5" t="str">
        <x:v>Driver</x:v>
      </x:c>
      <x:c r="B1" s="5" t="str">
        <x:v>Unit</x:v>
      </x:c>
      <x:c r="C1" s="5" t="str">
        <x:v>Source</x:v>
      </x:c>
      <x:c r="D1" s="5" t="str">
        <x:v>Y1</x:v>
      </x:c>
      <x:c r="E1" s="5" t="str">
        <x:v>Y2</x:v>
      </x:c>
      <x:c r="F1" s="5" t="str">
        <x:v>Y3</x:v>
      </x:c>
      <x:c r="G1" s="5" t="str">
        <x:v>Y4</x:v>
      </x:c>
      <x:c r="H1" s="5" t="str">
        <x:v>Y5</x:v>
      </x:c>
    </x:row>
    <x:row r="2" ht="15" hidden="0" customHeight="1">
      <x:c r="A2" s="3" t="str">
        <x:v>Market Share</x:v>
      </x:c>
      <x:c r="B2" s="3" t="str">
        <x:v>%</x:v>
      </x:c>
      <x:c r="C2" s="3" t="str">
        <x:v>Marketing Workstream</x:v>
      </x:c>
      <x:c r="D2" s="6" t="n">
        <x:v>0.05</x:v>
      </x:c>
      <x:c r="E2" s="6" t="n">
        <x:v>0.12</x:v>
      </x:c>
      <x:c r="F2" s="6" t="n">
        <x:v>0.2</x:v>
      </x:c>
      <x:c r="G2" s="6" t="n">
        <x:v>0.27</x:v>
      </x:c>
      <x:c r="H2" s="6" t="n">
        <x:v>0.31</x:v>
      </x:c>
    </x:row>
    <x:row r="3" ht="15" hidden="0" customHeight="1">
      <x:c r="A3" s="3" t="str">
        <x:v>Treatment Eligibility</x:v>
      </x:c>
      <x:c r="B3" s="3" t="str">
        <x:v>%</x:v>
      </x:c>
      <x:c r="C3" s="3" t="str">
        <x:v>Medical Workstream</x:v>
      </x:c>
      <x:c r="D3" s="6" t="n">
        <x:v>0.64</x:v>
      </x:c>
      <x:c r="E3" s="6" t="n">
        <x:v>0.64</x:v>
      </x:c>
      <x:c r="F3" s="6" t="n">
        <x:v>0.64</x:v>
      </x:c>
      <x:c r="G3" s="6" t="n">
        <x:v>0.64</x:v>
      </x:c>
      <x:c r="H3" s="6" t="n">
        <x:v>0.64</x:v>
      </x:c>
    </x:row>
    <x:row r="4" ht="15" hidden="0" customHeight="1">
      <x:c r="A4" s="3" t="str">
        <x:v>Sales Coverage</x:v>
      </x:c>
      <x:c r="B4" s="3" t="str">
        <x:v>%</x:v>
      </x:c>
      <x:c r="C4" s="3" t="str">
        <x:v>Sales Workstream</x:v>
      </x:c>
      <x:c r="D4" s="6" t="n">
        <x:v>0.55</x:v>
      </x:c>
      <x:c r="E4" s="6" t="n">
        <x:v>0.55</x:v>
      </x:c>
      <x:c r="F4" s="6" t="n">
        <x:v>0.55</x:v>
      </x:c>
      <x:c r="G4" s="6" t="n">
        <x:v>0.55</x:v>
      </x:c>
      <x:c r="H4" s="6" t="n">
        <x:v>0.55</x:v>
      </x:c>
    </x:row>
    <x:row r="5" ht="15" hidden="0" customHeight="1">
      <x:c r="A5" s="3" t="str">
        <x:v>Access Reach</x:v>
      </x:c>
      <x:c r="B5" s="3" t="str">
        <x:v>%</x:v>
      </x:c>
      <x:c r="C5" s="3" t="str">
        <x:v>Market Access Workstream</x:v>
      </x:c>
      <x:c r="D5" s="6" t="n">
        <x:v>0.1</x:v>
      </x:c>
      <x:c r="E5" s="6" t="n">
        <x:v>0.25</x:v>
      </x:c>
      <x:c r="F5" s="6" t="n">
        <x:v>0.45</x:v>
      </x:c>
      <x:c r="G5" s="6" t="n">
        <x:v>0.59</x:v>
      </x:c>
      <x:c r="H5" s="6" t="n">
        <x:v>0.7</x:v>
      </x:c>
    </x:row>
    <x:row r="6" ht="15" hidden="0" customHeight="1">
      <x:c r="A6" s="3" t="str">
        <x:v>Net Price</x:v>
      </x:c>
      <x:c r="B6" s="3" t="str">
        <x:v>Local currency</x:v>
      </x:c>
      <x:c r="C6" s="3" t="str">
        <x:v>Market Access Workstream</x:v>
      </x:c>
      <x:c r="D6" s="3" t="n">
        <x:v>22263</x:v>
      </x:c>
      <x:c r="E6" s="3" t="n">
        <x:v>22263</x:v>
      </x:c>
      <x:c r="F6" s="3" t="n">
        <x:v>22263</x:v>
      </x:c>
      <x:c r="G6" s="3" t="n">
        <x:v>22263</x:v>
      </x:c>
      <x:c r="H6" s="3" t="n">
        <x:v>22263</x:v>
      </x:c>
    </x:row>
    <x:row r="7" ht="15" hidden="0" customHeight="1">
      <x:c r="A7" s="3" t="str">
        <x:v>Regulatory Timing</x:v>
      </x:c>
      <x:c r="B7" s="3" t="str">
        <x:v>Date</x:v>
      </x:c>
      <x:c r="C7" s="3" t="str">
        <x:v>Regulatory Workstream</x:v>
      </x:c>
      <x:c r="D7" s="3" t="n">
        <x:v>0</x:v>
      </x:c>
      <x:c r="E7" s="3" t="n">
        <x:v>0</x:v>
      </x:c>
      <x:c r="F7" s="3" t="n">
        <x:v>0</x:v>
      </x:c>
      <x:c r="G7" s="3" t="n">
        <x:v>0</x:v>
      </x:c>
      <x:c r="H7" s="3" t="n">
        <x:v>0</x:v>
      </x:c>
    </x:row>
    <x:row r="8" ht="15" hidden="0" customHeight="1">
      <x:c r="A8" s="3" t="str">
        <x:v>COGS</x:v>
      </x:c>
      <x:c r="B8" s="3" t="str">
        <x:v>Local currency / unit</x:v>
      </x:c>
      <x:c r="C8" s="3" t="str">
        <x:v>Finance Workstream</x:v>
      </x:c>
      <x:c r="D8" s="3" t="n">
        <x:v>7150</x:v>
      </x:c>
      <x:c r="E8" s="3" t="n">
        <x:v>7150</x:v>
      </x:c>
      <x:c r="F8" s="3" t="n">
        <x:v>7150</x:v>
      </x:c>
      <x:c r="G8" s="3" t="n">
        <x:v>7150</x:v>
      </x:c>
      <x:c r="H8" s="3" t="n">
        <x:v>7150</x:v>
      </x:c>
    </x:row>
    <x:row r="9" ht="15" hidden="0" customHeight="1">
      <x:c r="A9" s="3" t="str">
        <x:v>Discount Rate</x:v>
      </x:c>
      <x:c r="B9" s="3" t="str">
        <x:v>%</x:v>
      </x:c>
      <x:c r="C9" s="3" t="str">
        <x:v>Finance Reference Data</x:v>
      </x:c>
      <x:c r="D9" s="6" t="n">
        <x:v>0.1</x:v>
      </x:c>
      <x:c r="E9" s="6" t="n">
        <x:v>0.1</x:v>
      </x:c>
      <x:c r="F9" s="6" t="n">
        <x:v>0.1</x:v>
      </x:c>
      <x:c r="G9" s="6" t="n">
        <x:v>0.1</x:v>
      </x:c>
      <x:c r="H9" s="6" t="n">
        <x:v>0.1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0.380000114440918" hidden="0" customWidth="1"/>
    <x:col min="3" max="3" width="7.130000114440918" hidden="0" customWidth="1"/>
    <x:col min="4" max="4" width="15" hidden="0" customWidth="1"/>
    <x:col min="5" max="5" width="14" hidden="0" customWidth="1"/>
    <x:col min="6" max="6" width="16.25" hidden="0" customWidth="1"/>
    <x:col min="7" max="7" width="34.75" hidden="0" customWidth="1"/>
    <x:col min="8" max="8" width="12.880000114440918" hidden="0" customWidth="1"/>
    <x:col min="9" max="9" width="10.75" hidden="0" customWidth="1"/>
  </x:cols>
  <x:sheetData>
    <x:row r="1" ht="15" hidden="0" customHeight="1">
      <x:c r="A1" s="5" t="str">
        <x:v>Driver</x:v>
      </x:c>
      <x:c r="B1" s="5" t="str">
        <x:v>Owner</x:v>
      </x:c>
      <x:c r="C1" s="5" t="str">
        <x:v>Unit</x:v>
      </x:c>
      <x:c r="D1" s="5" t="str">
        <x:v>Method</x:v>
      </x:c>
      <x:c r="E1" s="5" t="str">
        <x:v>Model Input</x:v>
      </x:c>
      <x:c r="F1" s="5" t="str">
        <x:v>Affects</x:v>
      </x:c>
      <x:c r="G1" s="5" t="str">
        <x:v>Downstream</x:v>
      </x:c>
      <x:c r="H1" s="5" t="str">
        <x:v>Default Downside</x:v>
      </x:c>
      <x:c r="I1" s="5" t="str">
        <x:v>Default Upside</x:v>
      </x:c>
    </x:row>
    <x:row r="2" ht="15" hidden="0" customHeight="1">
      <x:c r="A2" s="3" t="str">
        <x:v>Market Share</x:v>
      </x:c>
      <x:c r="B2" s="3" t="str">
        <x:v>Marketing</x:v>
      </x:c>
      <x:c r="C2" s="3" t="str">
        <x:v>pp</x:v>
      </x:c>
      <x:c r="D2" s="3" t="str">
        <x:v>RAMP_PP</x:v>
      </x:c>
      <x:c r="E2" s="3" t="str">
        <x:v>Market Share PP</x:v>
      </x:c>
      <x:c r="F2" s="3" t="str">
        <x:v>Patients on Product</x:v>
      </x:c>
      <x:c r="G2" s="3" t="str">
        <x:v>Units, Revenue, Gross Profit, Operating Profit, NPV</x:v>
      </x:c>
      <x:c r="H2" s="3" t="n">
        <x:v>-5</x:v>
      </x:c>
      <x:c r="I2" s="3" t="n">
        <x:v>5</x:v>
      </x:c>
    </x:row>
    <x:row r="3" ht="15" hidden="0" customHeight="1">
      <x:c r="A3" s="3" t="str">
        <x:v>Treatment Eligibility</x:v>
      </x:c>
      <x:c r="B3" s="3" t="str">
        <x:v>Medical</x:v>
      </x:c>
      <x:c r="C3" s="3" t="str">
        <x:v>% relative</x:v>
      </x:c>
      <x:c r="D3" s="3" t="str">
        <x:v>ALL_YEARS_RELATIVE</x:v>
      </x:c>
      <x:c r="E3" s="3" t="str">
        <x:v>Treatment Eligibility</x:v>
      </x:c>
      <x:c r="F3" s="3" t="str">
        <x:v>Treated Patients</x:v>
      </x:c>
      <x:c r="G3" s="3" t="str">
        <x:v>Accessible Patients, Units, Revenue, Profit, NPV</x:v>
      </x:c>
      <x:c r="H3" s="3" t="n">
        <x:v>-10</x:v>
      </x:c>
      <x:c r="I3" s="3" t="n">
        <x:v>10</x:v>
      </x:c>
    </x:row>
    <x:row r="4" ht="15" hidden="0" customHeight="1">
      <x:c r="A4" s="3" t="str">
        <x:v>Sales Coverage</x:v>
      </x:c>
      <x:c r="B4" s="3" t="str">
        <x:v>Sales</x:v>
      </x:c>
      <x:c r="C4" s="3" t="str">
        <x:v>% relative</x:v>
      </x:c>
      <x:c r="D4" s="3" t="str">
        <x:v>RAMP_RELATIVE</x:v>
      </x:c>
      <x:c r="E4" s="3" t="str">
        <x:v>Sales Coverage</x:v>
      </x:c>
      <x:c r="F4" s="3" t="str">
        <x:v>Market Share</x:v>
      </x:c>
      <x:c r="G4" s="3" t="str">
        <x:v>Patients on Product, Units, Revenue, Profit, NPV</x:v>
      </x:c>
      <x:c r="H4" s="3" t="n">
        <x:v>-10</x:v>
      </x:c>
      <x:c r="I4" s="3" t="n">
        <x:v>10</x:v>
      </x:c>
    </x:row>
    <x:row r="5" ht="15" hidden="0" customHeight="1">
      <x:c r="A5" s="3" t="str">
        <x:v>Access Reach</x:v>
      </x:c>
      <x:c r="B5" s="3" t="str">
        <x:v>Market Access</x:v>
      </x:c>
      <x:c r="C5" s="3" t="str">
        <x:v>pp</x:v>
      </x:c>
      <x:c r="D5" s="3" t="str">
        <x:v>RAMP_PP</x:v>
      </x:c>
      <x:c r="E5" s="3" t="str">
        <x:v>Access Rate PP</x:v>
      </x:c>
      <x:c r="F5" s="3" t="str">
        <x:v>Accessible Patients</x:v>
      </x:c>
      <x:c r="G5" s="3" t="str">
        <x:v>Patients on Product, Units, Revenue, Profit, NPV</x:v>
      </x:c>
      <x:c r="H5" s="3" t="n">
        <x:v>-10</x:v>
      </x:c>
      <x:c r="I5" s="3" t="n">
        <x:v>10</x:v>
      </x:c>
    </x:row>
    <x:row r="6" ht="15" hidden="0" customHeight="1">
      <x:c r="A6" s="3" t="str">
        <x:v>Net Price</x:v>
      </x:c>
      <x:c r="B6" s="3" t="str">
        <x:v>Market Access</x:v>
      </x:c>
      <x:c r="C6" s="3" t="str">
        <x:v>% relative</x:v>
      </x:c>
      <x:c r="D6" s="3" t="str">
        <x:v>ALL_YEARS_RELATIVE</x:v>
      </x:c>
      <x:c r="E6" s="3" t="str">
        <x:v>Net Price</x:v>
      </x:c>
      <x:c r="F6" s="3" t="str">
        <x:v>Realized Net Price</x:v>
      </x:c>
      <x:c r="G6" s="3" t="str">
        <x:v>Revenue, Gross Profit, Operating Profit, NPV</x:v>
      </x:c>
      <x:c r="H6" s="3" t="n">
        <x:v>-10</x:v>
      </x:c>
      <x:c r="I6" s="3" t="n">
        <x:v>5</x:v>
      </x:c>
    </x:row>
    <x:row r="7" ht="15" hidden="0" customHeight="1">
      <x:c r="A7" s="3" t="str">
        <x:v>Regulatory Timing</x:v>
      </x:c>
      <x:c r="B7" s="3" t="str">
        <x:v>Regulatory</x:v>
      </x:c>
      <x:c r="C7" s="3" t="str">
        <x:v>days</x:v>
      </x:c>
      <x:c r="D7" s="3" t="str">
        <x:v>DAYS_SHIFT</x:v>
      </x:c>
      <x:c r="E7" s="3" t="str">
        <x:v>Timing Shift Days</x:v>
      </x:c>
      <x:c r="F7" s="3" t="str">
        <x:v>Commercial availability</x:v>
      </x:c>
      <x:c r="G7" s="3" t="str">
        <x:v>Patients, Units, Revenue, Profit, NPV</x:v>
      </x:c>
      <x:c r="H7" s="3" t="n">
        <x:v>180</x:v>
      </x:c>
      <x:c r="I7" s="3" t="n">
        <x:v>-30</x:v>
      </x:c>
    </x:row>
    <x:row r="8" ht="15" hidden="0" customHeight="1">
      <x:c r="A8" s="3" t="str">
        <x:v>COGS</x:v>
      </x:c>
      <x:c r="B8" s="3" t="str">
        <x:v>Finance</x:v>
      </x:c>
      <x:c r="C8" s="3" t="str">
        <x:v>% relative</x:v>
      </x:c>
      <x:c r="D8" s="3" t="str">
        <x:v>ALL_YEARS_RELATIVE</x:v>
      </x:c>
      <x:c r="E8" s="3" t="str">
        <x:v>COGS</x:v>
      </x:c>
      <x:c r="F8" s="3" t="str">
        <x:v>COGS per Unit</x:v>
      </x:c>
      <x:c r="G8" s="3" t="str">
        <x:v>Gross Profit, Gross Margin, Operating Profit, NPV</x:v>
      </x:c>
      <x:c r="H8" s="3" t="n">
        <x:v>10</x:v>
      </x:c>
      <x:c r="I8" s="3" t="n">
        <x:v>-5</x:v>
      </x:c>
    </x:row>
    <x:row r="9" ht="15" hidden="0" customHeight="1">
      <x:c r="A9" s="3" t="str">
        <x:v>Discount Rate</x:v>
      </x:c>
      <x:c r="B9" s="3" t="str">
        <x:v>Finance</x:v>
      </x:c>
      <x:c r="C9" s="3" t="str">
        <x:v>pp</x:v>
      </x:c>
      <x:c r="D9" s="3" t="str">
        <x:v>NPV_PP</x:v>
      </x:c>
      <x:c r="E9" s="3" t="str">
        <x:v>Discount Rate PP</x:v>
      </x:c>
      <x:c r="F9" s="3" t="str">
        <x:v>Discount Rate</x:v>
      </x:c>
      <x:c r="G9" s="3" t="str">
        <x:v>NPV only</x:v>
      </x:c>
      <x:c r="H9" s="3" t="n">
        <x:v>2</x:v>
      </x:c>
      <x:c r="I9" s="3" t="n">
        <x:v>-2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25" hidden="0" customWidth="1"/>
    <x:col min="2" max="2" width="9.880000114440918" hidden="0" customWidth="1"/>
    <x:col min="3" max="3" width="3.5" hidden="0" customWidth="1"/>
    <x:col min="4" max="4" width="7.880000114440918" hidden="0" customWidth="1"/>
    <x:col min="5" max="5" width="16.1299991607666" hidden="0" customWidth="1"/>
    <x:col min="6" max="6" width="15" hidden="0" customWidth="1"/>
    <x:col min="7" max="7" width="10.630000114440918" hidden="0" customWidth="1"/>
    <x:col min="8" max="8" width="13.880000114440918" hidden="0" customWidth="1"/>
    <x:col min="9" max="9" width="38" hidden="0" customWidth="1"/>
  </x:cols>
  <x:sheetData>
    <x:row r="1" ht="15" hidden="0" customHeight="1">
      <x:c r="A1" s="5" t="str">
        <x:v>Scenario</x:v>
      </x:c>
      <x:c r="B1" s="5" t="str">
        <x:v>Driver</x:v>
      </x:c>
      <x:c r="C1" s="5" t="str">
        <x:v>Year</x:v>
      </x:c>
      <x:c r="D1" s="5" t="str">
        <x:v>Base Input</x:v>
      </x:c>
      <x:c r="E1" s="5" t="str">
        <x:v>Sensitivity Adjustment</x:v>
      </x:c>
      <x:c r="F1" s="5" t="str">
        <x:v>Method</x:v>
      </x:c>
      <x:c r="G1" s="5" t="str">
        <x:v>Scenario Input</x:v>
      </x:c>
      <x:c r="H1" s="5" t="str">
        <x:v>Model Output</x:v>
      </x:c>
      <x:c r="I1" s="5" t="str">
        <x:v>Formula Purpose</x:v>
      </x:c>
    </x:row>
    <x:row r="2" ht="15" hidden="0" customHeight="1">
      <x:c r="A2" s="3" t="str">
        <x:v>Downside</x:v>
      </x:c>
      <x:c r="B2" s="3" t="str">
        <x:v>Market Share</x:v>
      </x:c>
      <x:c r="C2" s="3" t="str">
        <x:v>Y5</x:v>
      </x:c>
      <x:c r="D2" s="6" t="n">
        <x:v>0.31</x:v>
      </x:c>
      <x:c r="E2" s="6" t="n">
        <x:v>-5</x:v>
      </x:c>
      <x:c r="F2" s="6" t="str">
        <x:v>RAMP_PP</x:v>
      </x:c>
      <x:c r="G2" s="6" t="n">
        <x:f>MAX(0,MIN(1,D2+E2/100))</x:f>
        <x:v>0.26</x:v>
      </x:c>
      <x:c r="H2" s="3" t="str">
        <x:v>Patients on Product</x:v>
      </x:c>
      <x:c r="I2" s="3" t="str">
        <x:v>Base plus percentage-point deviation, capped 0%-100%</x:v>
      </x:c>
    </x:row>
    <x:row r="3" ht="15" hidden="0" customHeight="1">
      <x:c r="A3" s="3" t="str">
        <x:v>Downside</x:v>
      </x:c>
      <x:c r="B3" s="3" t="str">
        <x:v>COGS</x:v>
      </x:c>
      <x:c r="C3" s="3" t="str">
        <x:v>Y5</x:v>
      </x:c>
      <x:c r="D3" s="3" t="n">
        <x:v>7150</x:v>
      </x:c>
      <x:c r="E3" s="3" t="n">
        <x:v>10</x:v>
      </x:c>
      <x:c r="F3" s="3" t="str">
        <x:v>ALL_YEARS_RELATIVE</x:v>
      </x:c>
      <x:c r="G3" s="3" t="n">
        <x:f>D3*(1+E3/100)</x:f>
        <x:v>7865.000000000001</x:v>
      </x:c>
      <x:c r="H3" s="3" t="str">
        <x:v>Gross Profit</x:v>
      </x:c>
      <x:c r="I3" s="3" t="str">
        <x:v>Base multiplied by one plus relative deviation</x:v>
      </x:c>
    </x:row>
    <x:row r="4" ht="15" hidden="0" customHeight="1">
      <x:c r="A4" s="3" t="str">
        <x:v>Downside</x:v>
      </x:c>
      <x:c r="B4" s="3" t="str">
        <x:v>Discount Rate</x:v>
      </x:c>
      <x:c r="C4" s="3" t="str">
        <x:v>Y5</x:v>
      </x:c>
      <x:c r="D4" s="6" t="n">
        <x:v>0.1</x:v>
      </x:c>
      <x:c r="E4" s="6" t="n">
        <x:v>2</x:v>
      </x:c>
      <x:c r="F4" s="6" t="str">
        <x:v>NPV_PP</x:v>
      </x:c>
      <x:c r="G4" s="6" t="n">
        <x:f>MAX(0,D4+E4/100)</x:f>
        <x:v>0.12000000000000001</x:v>
      </x:c>
      <x:c r="H4" s="3" t="str">
        <x:v>5Y NPV</x:v>
      </x:c>
      <x:c r="I4" s="3" t="str">
        <x:v>Base discount rate plus percentage-point deviation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.5" hidden="0" customWidth="1"/>
    <x:col min="2" max="2" width="3.5" hidden="0" customWidth="1"/>
    <x:col min="3" max="3" width="9.380000114440918" hidden="0" customWidth="1"/>
    <x:col min="4" max="4" width="4.380000114440918" hidden="0" customWidth="1"/>
    <x:col min="5" max="5" width="8.630000114440918" hidden="0" customWidth="1"/>
    <x:col min="6" max="6" width="14.25" hidden="0" customWidth="1"/>
    <x:col min="7" max="7" width="11.630000114440918" hidden="0" customWidth="1"/>
    <x:col min="8" max="8" width="17" hidden="0" customWidth="1"/>
    <x:col min="9" max="9" width="21" hidden="0" customWidth="1"/>
  </x:cols>
  <x:sheetData>
    <x:row r="1" ht="15" hidden="0" customHeight="1">
      <x:c r="A1" s="5" t="str">
        <x:v>Scenario</x:v>
      </x:c>
      <x:c r="B1" s="5" t="str">
        <x:v>Year</x:v>
      </x:c>
      <x:c r="C1" s="5" t="str">
        <x:v>Net Revenue</x:v>
      </x:c>
      <x:c r="D1" s="5" t="str">
        <x:v>COGS</x:v>
      </x:c>
      <x:c r="E1" s="5" t="str">
        <x:v>Gross Profit</x:v>
      </x:c>
      <x:c r="F1" s="5" t="str">
        <x:v>Operating Expenses</x:v>
      </x:c>
      <x:c r="G1" s="5" t="str">
        <x:v>Operating Profit</x:v>
      </x:c>
      <x:c r="H1" s="5" t="str">
        <x:v>Launch Cash Flow Proxy</x:v>
      </x:c>
      <x:c r="I1" s="5" t="str">
        <x:v>Cumulative Launch Cash Flow</x:v>
      </x:c>
    </x:row>
    <x:row r="2" ht="15" hidden="0" customHeight="1">
      <x:c r="A2" s="3" t="str">
        <x:v>Base</x:v>
      </x:c>
      <x:c r="B2" s="3" t="str">
        <x:v>Y1</x:v>
      </x:c>
      <x:c r="C2" s="3" t="n">
        <x:v>0</x:v>
      </x:c>
      <x:c r="D2" s="3" t="n">
        <x:v>0</x:v>
      </x:c>
      <x:c r="E2" s="3" t="n">
        <x:f>C2-D2</x:f>
        <x:v>0</x:v>
      </x:c>
      <x:c r="F2" s="3" t="n">
        <x:v>0</x:v>
      </x:c>
      <x:c r="G2" s="3" t="n">
        <x:f>E2-F2</x:f>
        <x:v>0</x:v>
      </x:c>
      <x:c r="H2" s="3" t="n">
        <x:f>G2</x:f>
        <x:v>0</x:v>
      </x:c>
      <x:c r="I2" s="3" t="n">
        <x:f>H2</x:f>
        <x:v>0</x:v>
      </x:c>
    </x:row>
    <x:row r="3" ht="15" hidden="0" customHeight="1">
      <x:c r="A3" s="3" t="str">
        <x:v>Base</x:v>
      </x:c>
      <x:c r="B3" s="3" t="str">
        <x:v>Y2</x:v>
      </x:c>
      <x:c r="C3" s="3" t="n">
        <x:v>0</x:v>
      </x:c>
      <x:c r="D3" s="3" t="n">
        <x:v>0</x:v>
      </x:c>
      <x:c r="E3" s="3" t="n">
        <x:f>C3-D3</x:f>
        <x:v>0</x:v>
      </x:c>
      <x:c r="F3" s="3" t="n">
        <x:v>0</x:v>
      </x:c>
      <x:c r="G3" s="3" t="n">
        <x:f>E3-F3</x:f>
        <x:v>0</x:v>
      </x:c>
      <x:c r="H3" s="3" t="n">
        <x:f>G3</x:f>
        <x:v>0</x:v>
      </x:c>
      <x:c r="I3" s="3" t="n">
        <x:f>I2+H3</x:f>
        <x:v>0</x:v>
      </x:c>
    </x:row>
    <x:row r="4" ht="15" hidden="0" customHeight="1">
      <x:c r="A4" s="3" t="str">
        <x:v>Base</x:v>
      </x:c>
      <x:c r="B4" s="3" t="str">
        <x:v>Y3</x:v>
      </x:c>
      <x:c r="C4" s="3" t="n">
        <x:v>0</x:v>
      </x:c>
      <x:c r="D4" s="3" t="n">
        <x:v>0</x:v>
      </x:c>
      <x:c r="E4" s="3" t="n">
        <x:f>C4-D4</x:f>
        <x:v>0</x:v>
      </x:c>
      <x:c r="F4" s="3" t="n">
        <x:v>0</x:v>
      </x:c>
      <x:c r="G4" s="3" t="n">
        <x:f>E4-F4</x:f>
        <x:v>0</x:v>
      </x:c>
      <x:c r="H4" s="3" t="n">
        <x:f>G4</x:f>
        <x:v>0</x:v>
      </x:c>
      <x:c r="I4" s="3" t="n">
        <x:f>I3+H4</x:f>
        <x:v>0</x:v>
      </x:c>
    </x:row>
    <x:row r="5" ht="15" hidden="0" customHeight="1">
      <x:c r="A5" s="3" t="str">
        <x:v>Base</x:v>
      </x:c>
      <x:c r="B5" s="3" t="str">
        <x:v>Y4</x:v>
      </x:c>
      <x:c r="C5" s="3" t="n">
        <x:v>0</x:v>
      </x:c>
      <x:c r="D5" s="3" t="n">
        <x:v>0</x:v>
      </x:c>
      <x:c r="E5" s="3" t="n">
        <x:f>C5-D5</x:f>
        <x:v>0</x:v>
      </x:c>
      <x:c r="F5" s="3" t="n">
        <x:v>0</x:v>
      </x:c>
      <x:c r="G5" s="3" t="n">
        <x:f>E5-F5</x:f>
        <x:v>0</x:v>
      </x:c>
      <x:c r="H5" s="3" t="n">
        <x:f>G5</x:f>
        <x:v>0</x:v>
      </x:c>
      <x:c r="I5" s="3" t="n">
        <x:f>I4+H5</x:f>
        <x:v>0</x:v>
      </x:c>
    </x:row>
    <x:row r="6" ht="15" hidden="0" customHeight="1">
      <x:c r="A6" s="3" t="str">
        <x:v>Base</x:v>
      </x:c>
      <x:c r="B6" s="3" t="str">
        <x:v>Y5</x:v>
      </x:c>
      <x:c r="C6" s="3" t="n">
        <x:v>0</x:v>
      </x:c>
      <x:c r="D6" s="3" t="n">
        <x:v>0</x:v>
      </x:c>
      <x:c r="E6" s="3" t="n">
        <x:f>C6-D6</x:f>
        <x:v>0</x:v>
      </x:c>
      <x:c r="F6" s="3" t="n">
        <x:v>0</x:v>
      </x:c>
      <x:c r="G6" s="3" t="n">
        <x:f>E6-F6</x:f>
        <x:v>0</x:v>
      </x:c>
      <x:c r="H6" s="3" t="n">
        <x:f>G6</x:f>
        <x:v>0</x:v>
      </x:c>
      <x:c r="I6" s="3" t="n">
        <x:f>I5+H6</x:f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5" hidden="0" customWidth="1"/>
    <x:col min="2" max="2" width="5.5" hidden="0" customWidth="1"/>
    <x:col min="3" max="3" width="49.380001068115234" hidden="0" customWidth="1"/>
  </x:cols>
  <x:sheetData>
    <x:row r="1" ht="15" hidden="0" customHeight="1">
      <x:c r="A1" s="5" t="str">
        <x:v>Output</x:v>
      </x:c>
      <x:c r="B1" s="5" t="str">
        <x:v>Value</x:v>
      </x:c>
      <x:c r="C1" s="5" t="str">
        <x:v>Definition</x:v>
      </x:c>
    </x:row>
    <x:row r="2" ht="15" hidden="0" customHeight="1">
      <x:c r="A2" s="3" t="str">
        <x:v>Y5 Net Revenue</x:v>
      </x:c>
      <x:c r="B2" s="3" t="n">
        <x:f>'P&amp;L'!C6</x:f>
        <x:v>0</x:v>
      </x:c>
      <x:c r="C2" s="3" t="str">
        <x:v>Integrated model Net Revenue in Y5</x:v>
      </x:c>
    </x:row>
    <x:row r="3" ht="15" hidden="0" customHeight="1">
      <x:c r="A3" s="3" t="str">
        <x:v>Y5 Operating Profit</x:v>
      </x:c>
      <x:c r="B3" s="3" t="n">
        <x:f>'P&amp;L'!G6</x:f>
        <x:v>0</x:v>
      </x:c>
      <x:c r="C3" s="3" t="str">
        <x:v>Integrated model Operating Profit in Y5</x:v>
      </x:c>
    </x:row>
    <x:row r="4" ht="15" hidden="0" customHeight="1">
      <x:c r="A4" s="3" t="str">
        <x:v>5Y Cumulative Revenue</x:v>
      </x:c>
      <x:c r="B4" s="3" t="n">
        <x:f>SUM('P&amp;L'!C2:C6)</x:f>
        <x:v>0</x:v>
      </x:c>
      <x:c r="C4" s="3" t="str">
        <x:v>Sum of Y1-Y5 Net Revenue</x:v>
      </x:c>
    </x:row>
    <x:row r="5" ht="15" hidden="0" customHeight="1">
      <x:c r="A5" s="3" t="str">
        <x:v>5Y Cumulative Operating Profit</x:v>
      </x:c>
      <x:c r="B5" s="3" t="n">
        <x:f>SUM('P&amp;L'!G2:G6)</x:f>
        <x:v>0</x:v>
      </x:c>
      <x:c r="C5" s="3" t="str">
        <x:v>Sum of Y1-Y5 Operating Profit</x:v>
      </x:c>
    </x:row>
    <x:row r="6" ht="15" hidden="0" customHeight="1">
      <x:c r="A6" s="3" t="str">
        <x:v>5Y NPV</x:v>
      </x:c>
      <x:c r="B6" s="3" t="n">
        <x:f>NPV('Reference Data'!B2,'P&amp;L'!H2:H6)</x:f>
        <x:v>0</x:v>
      </x:c>
      <x:c r="C6" s="3" t="str">
        <x:v>Discounted Y1-Y5 launch cash-flow proxy</x:v>
      </x:c>
    </x:row>
    <x:row r="7" ht="15" hidden="0" customHeight="1">
      <x:c r="A7" s="3" t="str">
        <x:v>Payback Period</x:v>
      </x:c>
      <x:c r="B7" s="3" t="str">
        <x:f>IF('P&amp;L'!I2&gt;=0,"&lt;1 year",IF('P&amp;L'!I3&gt;=0,1+(-'P&amp;L'!I2/'P&amp;L'!H3),IF('P&amp;L'!I4&gt;=0,2+(-'P&amp;L'!I3/'P&amp;L'!H4),IF('P&amp;L'!I5&gt;=0,3+(-'P&amp;L'!I4/'P&amp;L'!H5),IF('P&amp;L'!I6&gt;=0,4+(-'P&amp;L'!I5/'P&amp;L'!H6),"&gt;5 years")))))</x:f>
        <x:v>&lt;1 year</x:v>
      </x:c>
      <x:c r="C7" s="3" t="str">
        <x:v>Point when cumulative undiscounted launch cash flow becomes positive</x:v>
      </x:c>
    </x:row>
  </x:sheetData>
  <x:pageMargins left="0.7" right="0.7" top="0.75" bottom="0.75" header="0.3" footer="0.3"/>
</x:worksheet>
</file>