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88b73632de47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al Requests" sheetId="1" r:id="Rf486dd460bb6423e"/>
    <x:sheet xmlns:r="http://schemas.openxmlformats.org/officeDocument/2006/relationships" name="Line Items" sheetId="2" r:id="R4cbf99a007244360"/>
    <x:sheet xmlns:r="http://schemas.openxmlformats.org/officeDocument/2006/relationships" name="Deal Summary" sheetId="3" r:id="R99b3235024984af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164" formatCode="$#,##0.00"/>
    <x:numFmt numFmtId="165" formatCode="0.0%"/>
    <x:numFmt numFmtId="166" formatCode="yyyy-mm-dd"/>
  </x:numFmts>
  <x:fonts count="5">
    <x:font>
      <x:sz val="11"/>
      <x:name val="Carlito"/>
    </x:font>
    <x:font>
      <x:b/>
      <x:sz val="14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  <x:font>
      <x:b/>
      <x:color rgb="FFFFFFFF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F3F6F8"/>
      </x:patternFill>
    </x:fill>
    <x:fill>
      <x:patternFill patternType="solid">
        <x:fgColor rgb="FF0F766E"/>
      </x:patternFill>
    </x:fill>
    <x:fill>
      <x:patternFill patternType="solid">
        <x:fgColor rgb="FF1F4E78"/>
      </x:patternFill>
    </x:fill>
  </x:fills>
  <x:borders count="3">
    <x:border/>
    <x:border>
      <x:left style="thin">
        <x:color rgb="FFC9D3DD"/>
      </x:left>
      <x:right style="thin">
        <x:color rgb="FFC9D3DD"/>
      </x:right>
      <x:top style="thin">
        <x:color rgb="FFC9D3DD"/>
      </x:top>
      <x:bottom style="thin">
        <x:color rgb="FFC9D3DD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21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horizont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1" xfId="0" applyAlignment="1">
      <x:alignment horizontal="center" wrapText="1"/>
    </x:xf>
    <x:xf numFmtId="0" fontId="0" fillId="0" borderId="1" xfId="0"/>
    <x:xf numFmtId="0" fontId="0" fillId="0" borderId="1" xfId="0" applyAlignment="1">
      <x:alignment wrapText="1"/>
    </x:xf>
    <x:xf numFmtId="0" fontId="4" fillId="5" borderId="2" xfId="0" applyAlignment="1">
      <x:alignment horizontal="center" vertical="center" wrapText="1"/>
    </x:xf>
    <x:xf numFmtId="3" fontId="0" fillId="0" borderId="1" xfId="0" applyAlignment="1">
      <x:alignment wrapText="1"/>
    </x:xf>
    <x:xf numFmtId="164" fontId="0" fillId="0" borderId="1" xfId="0" applyAlignment="1">
      <x:alignment wrapText="1"/>
    </x:xf>
    <x:xf numFmtId="165" fontId="0" fillId="0" borderId="1" xfId="0" applyAlignment="1">
      <x:alignment wrapText="1"/>
    </x:xf>
    <x:xf numFmtId="166" fontId="0" fillId="0" borderId="1" xfId="0" applyAlignment="1">
      <x:alignment wrapText="1"/>
    </x:xf>
    <x:xf numFmtId="0" fontId="0" fillId="0" borderId="1" xfId="0" applyAlignment="1">
      <x:alignment vertical="top" wrapText="1"/>
    </x:xf>
    <x:xf numFmtId="0" fontId="0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317bf36f5d454a" /><Relationship Type="http://schemas.openxmlformats.org/officeDocument/2006/relationships/theme" Target="/xl/theme/theme1.xml" Id="R6b5ec36bde2e4d8c" /><Relationship Type="http://schemas.openxmlformats.org/officeDocument/2006/relationships/sharedStrings" Target="/xl/sharedStrings.xml" Id="R46f2b288daf142fa" /><Relationship Type="http://schemas.openxmlformats.org/officeDocument/2006/relationships/worksheet" Target="/xl/worksheets/sheet1.xml" Id="Rf486dd460bb6423e" /><Relationship Type="http://schemas.openxmlformats.org/officeDocument/2006/relationships/worksheet" Target="/xl/worksheets/sheet2.xml" Id="R4cbf99a007244360" /><Relationship Type="http://schemas.openxmlformats.org/officeDocument/2006/relationships/worksheet" Target="/xl/worksheets/sheet3.xml" Id="R99b3235024984af9" /></Relationships>
</file>

<file path=xl/tables/table1.xml><?xml version="1.0" encoding="utf-8"?>
<x:table xmlns:x="http://schemas.openxmlformats.org/spreadsheetml/2006/main" id="4" name="SampleDeals" displayName="SampleDeals" ref="A4:U14" headerRowCount="1">
  <x:autoFilter ref="A4:U14"/>
  <x:tableColumns count="21">
    <x:tableColumn id="1" name="Deal ID"/>
    <x:tableColumn id="2" name="Deal Title"/>
    <x:tableColumn id="3" name="Sold-To Customer ID"/>
    <x:tableColumn id="4" name="Sold-To Customer Name"/>
    <x:tableColumn id="5" name="End Account ID"/>
    <x:tableColumn id="6" name="End Account Name"/>
    <x:tableColumn id="7" name="Deal Type"/>
    <x:tableColumn id="8" name="Customer Type"/>
    <x:tableColumn id="9" name="Region"/>
    <x:tableColumn id="10" name="Sales Owner"/>
    <x:tableColumn id="11" name="Sales Manager"/>
    <x:tableColumn id="12" name="Status"/>
    <x:tableColumn id="13" name="Expected Award / Decision Date"/>
    <x:tableColumn id="14" name="Requested Delivery Start"/>
    <x:tableColumn id="15" name="Requested Delivery End"/>
    <x:tableColumn id="16" name="Payment Terms"/>
    <x:tableColumn id="17" name="Strategic Rationale"/>
    <x:tableColumn id="18" name="KAM Risk Assessment"/>
    <x:tableColumn id="19" name="Risk Reason"/>
    <x:tableColumn id="20" name="Channel"/>
    <x:tableColumn id="21" name="Included In Latest Financial Plan"/>
  </x:tableColumns>
  <x:tableStyleInfo name="TableStyleMedium2" showRowStripes="1"/>
</x:table>
</file>

<file path=xl/tables/table2.xml><?xml version="1.0" encoding="utf-8"?>
<x:table xmlns:x="http://schemas.openxmlformats.org/spreadsheetml/2006/main" id="5" name="SampleLineItems" displayName="SampleLineItems" ref="A4:O24" headerRowCount="1">
  <x:autoFilter ref="A4:O24"/>
  <x:tableColumns count="15">
    <x:tableColumn id="1" name="Deal ID"/>
    <x:tableColumn id="2" name="Line #"/>
    <x:tableColumn id="3" name="SKU"/>
    <x:tableColumn id="4" name="Product Name"/>
    <x:tableColumn id="5" name="Quantity"/>
    <x:tableColumn id="6" name="Unit List Price"/>
    <x:tableColumn id="7" name="Unit Gross Price"/>
    <x:tableColumn id="8" name="Base Rebate %"/>
    <x:tableColumn id="9" name="Requested Discount %"/>
    <x:tableColumn id="10" name="Requested Net Price"/>
    <x:tableColumn id="11" name="Unit Cost"/>
    <x:tableColumn id="12" name="Gross Revenue"/>
    <x:tableColumn id="13" name="Proposed Net Revenue"/>
    <x:tableColumn id="14" name="Requested Delivery Date"/>
    <x:tableColumn id="15" name="Line Commercial Rationale"/>
  </x:tableColumns>
  <x:tableStyleInfo name="TableStyleMedium2" showRowStripes="1"/>
</x:table>
</file>

<file path=xl/tables/table3.xml><?xml version="1.0" encoding="utf-8"?>
<x:table xmlns:x="http://schemas.openxmlformats.org/spreadsheetml/2006/main" id="6" name="DealSummary" displayName="DealSummary" ref="A4:Q14" headerRowCount="1">
  <x:autoFilter ref="A4:Q14"/>
  <x:tableColumns count="17">
    <x:tableColumn id="1" name="Deal ID"/>
    <x:tableColumn id="2" name="Deal Title"/>
    <x:tableColumn id="3" name="Sold-To Customer"/>
    <x:tableColumn id="4" name="End Account"/>
    <x:tableColumn id="5" name="Gross Revenue"/>
    <x:tableColumn id="6" name="Proposed Net Revenue"/>
    <x:tableColumn id="7" name="Discount Amount"/>
    <x:tableColumn id="8" name="Discount %"/>
    <x:tableColumn id="9" name="Gross Profit"/>
    <x:tableColumn id="10" name="Gross Margin %"/>
    <x:tableColumn id="11" name="KAM Risk Assessment"/>
    <x:tableColumn id="12" name="Risk Reason"/>
    <x:tableColumn id="13" name="System Risk Score"/>
    <x:tableColumn id="14" name="Approval Route"/>
    <x:tableColumn id="15" name="Business Recommendation"/>
    <x:tableColumn id="16" name="Status"/>
    <x:tableColumn id="17" name="Included In Latest Financial Pla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3143bbe2d044ff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4948bf1290a4fe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256b2cce467455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.25" customWidth="1"/>
    <x:col min="2" max="2" width="15.630000114440918" customWidth="1"/>
    <x:col min="3" max="3" width="16.75" customWidth="1"/>
    <x:col min="4" max="4" width="19" customWidth="1"/>
    <x:col min="5" max="5" width="20.1299991607666" customWidth="1"/>
    <x:col min="6" max="6" width="14.5" customWidth="1"/>
    <x:col min="7" max="7" width="11.25" customWidth="1"/>
    <x:col min="8" max="8" width="12.25" customWidth="1"/>
    <x:col min="9" max="9" width="16.75" customWidth="1"/>
    <x:col min="10" max="10" width="19" customWidth="1"/>
    <x:col min="11" max="11" width="11.25" customWidth="1"/>
    <x:col min="12" max="12" width="23.5" customWidth="1"/>
    <x:col min="13" max="13" width="19" customWidth="1"/>
    <x:col min="14" max="14" width="21.25" customWidth="1"/>
    <x:col min="15" max="15" width="25.75" customWidth="1"/>
    <x:col min="16" max="16" width="16.75" customWidth="1"/>
    <x:col min="17" max="17" width="12.25" customWidth="1"/>
    <x:col min="18" max="18" width="31.25" customWidth="1"/>
  </x:cols>
  <x:sheetData>
    <x:row r="1" ht="22.5" customHeight="1">
      <x:c r="A1" s="3" t="inlineStr">
        <x:is>
          <x:t xml:space="preserve">Sample Deal Requests - Financial Plan Logic</x:t>
        </x:is>
      </x:c>
    </x:row>
    <x:row r="2" ht="25.5" customHeight="1">
      <x:c r="A2" s="6" t="inlineStr">
        <x:is>
          <x:t xml:space="preserve">Ten complete deal requests with Included_In_Latest_Financial_Plan flag.</x:t>
        </x:is>
      </x:c>
    </x:row>
    <x:row r="4" ht="24" customHeight="1">
      <x:c r="A4" s="11" t="inlineStr">
        <x:is>
          <x:t xml:space="preserve">Deal ID</x:t>
        </x:is>
      </x:c>
      <x:c r="B4" s="11" t="inlineStr">
        <x:is>
          <x:t xml:space="preserve">Deal Title</x:t>
        </x:is>
      </x:c>
      <x:c r="C4" s="11" t="inlineStr">
        <x:is>
          <x:t xml:space="preserve">Sold-To Customer ID</x:t>
        </x:is>
      </x:c>
      <x:c r="D4" s="11" t="inlineStr">
        <x:is>
          <x:t xml:space="preserve">Sold-To Customer Name</x:t>
        </x:is>
      </x:c>
      <x:c r="E4" s="11" t="inlineStr">
        <x:is>
          <x:t xml:space="preserve">End Account ID</x:t>
        </x:is>
      </x:c>
      <x:c r="F4" s="11" t="inlineStr">
        <x:is>
          <x:t xml:space="preserve">End Account Name</x:t>
        </x:is>
      </x:c>
      <x:c r="G4" s="11" t="inlineStr">
        <x:is>
          <x:t xml:space="preserve">Deal Type</x:t>
        </x:is>
      </x:c>
      <x:c r="H4" s="11" t="inlineStr">
        <x:is>
          <x:t xml:space="preserve">Customer Type</x:t>
        </x:is>
      </x:c>
      <x:c r="I4" s="11" t="inlineStr">
        <x:is>
          <x:t xml:space="preserve">Region</x:t>
        </x:is>
      </x:c>
      <x:c r="J4" s="11" t="inlineStr">
        <x:is>
          <x:t xml:space="preserve">Sales Owner</x:t>
        </x:is>
      </x:c>
      <x:c r="K4" s="11" t="inlineStr">
        <x:is>
          <x:t xml:space="preserve">Sales Manager</x:t>
        </x:is>
      </x:c>
      <x:c r="L4" s="11" t="inlineStr">
        <x:is>
          <x:t xml:space="preserve">Status</x:t>
        </x:is>
      </x:c>
      <x:c r="M4" s="11" t="inlineStr">
        <x:is>
          <x:t xml:space="preserve">Expected Award / Decision Date</x:t>
        </x:is>
      </x:c>
      <x:c r="N4" s="11" t="inlineStr">
        <x:is>
          <x:t xml:space="preserve">Requested Delivery Start</x:t>
        </x:is>
      </x:c>
      <x:c r="O4" s="11" t="inlineStr">
        <x:is>
          <x:t xml:space="preserve">Requested Delivery End</x:t>
        </x:is>
      </x:c>
      <x:c r="P4" s="11" t="inlineStr">
        <x:is>
          <x:t xml:space="preserve">Payment Terms</x:t>
        </x:is>
      </x:c>
      <x:c r="Q4" s="11" t="inlineStr">
        <x:is>
          <x:t xml:space="preserve">Strategic Rationale</x:t>
        </x:is>
      </x:c>
      <x:c r="R4" s="11" t="inlineStr">
        <x:is>
          <x:t xml:space="preserve">KAM Risk Assessment</x:t>
        </x:is>
      </x:c>
      <x:c r="S4" t="inlineStr">
        <x:is>
          <x:t xml:space="preserve">Risk Reason</x:t>
        </x:is>
      </x:c>
      <x:c r="T4" t="inlineStr">
        <x:is>
          <x:t xml:space="preserve">Channel</x:t>
        </x:is>
      </x:c>
      <x:c r="U4" t="inlineStr">
        <x:is>
          <x:t xml:space="preserve">Included In Latest Financial Plan</x:t>
        </x:is>
      </x:c>
    </x:row>
    <x:row r="5">
      <x:c r="A5" s="13" t="inlineStr">
        <x:is>
          <x:t xml:space="preserve">DEAL-4001</x:t>
        </x:is>
      </x:c>
      <x:c r="B5" s="13" t="inlineStr">
        <x:is>
          <x:t xml:space="preserve">Region A Infusion Tender Defense</x:t>
        </x:is>
      </x:c>
      <x:c r="C5" s="13" t="inlineStr">
        <x:is>
          <x:t xml:space="preserve">CUST-1004</x:t>
        </x:is>
      </x:c>
      <x:c r="D5" s="13" t="inlineStr">
        <x:is>
          <x:t xml:space="preserve">HelioRx Distribution</x:t>
        </x:is>
      </x:c>
      <x:c r="E5" s="13" t="inlineStr">
        <x:is>
          <x:t xml:space="preserve">CUST-1001</x:t>
        </x:is>
      </x:c>
      <x:c r="F5" s="13" t="inlineStr">
        <x:is>
          <x:t xml:space="preserve">Northstar Health Systems</x:t>
        </x:is>
      </x:c>
      <x:c r="G5" s="13" t="inlineStr">
        <x:is>
          <x:t xml:space="preserve">Tender</x:t>
        </x:is>
      </x:c>
      <x:c r="H5" s="13" t="inlineStr">
        <x:is>
          <x:t xml:space="preserve">Distributor</x:t>
        </x:is>
      </x:c>
      <x:c r="I5" s="13" t="inlineStr">
        <x:is>
          <x:t xml:space="preserve">Region A</x:t>
        </x:is>
      </x:c>
      <x:c r="J5" s="13" t="inlineStr">
        <x:is>
          <x:t xml:space="preserve">Maya Chen</x:t>
        </x:is>
      </x:c>
      <x:c r="K5" s="13" t="inlineStr">
        <x:is>
          <x:t xml:space="preserve">Jordan Blake</x:t>
        </x:is>
      </x:c>
      <x:c r="L5" s="13" t="inlineStr">
        <x:is>
          <x:t xml:space="preserve">Submitted</x:t>
        </x:is>
      </x:c>
      <x:c r="M5" s="13" t="inlineStr">
        <x:is>
          <x:t xml:space="preserve">2026-07-31</x:t>
        </x:is>
      </x:c>
      <x:c r="N5" s="13" t="inlineStr">
        <x:is>
          <x:t xml:space="preserve">2026-08-15</x:t>
        </x:is>
      </x:c>
      <x:c r="O5" s="13" t="inlineStr">
        <x:is>
          <x:t xml:space="preserve">2026-12-31</x:t>
        </x:is>
      </x:c>
      <x:c r="P5" s="13" t="inlineStr">
        <x:is>
          <x:t xml:space="preserve">Net 60</x:t>
        </x:is>
      </x:c>
      <x:c r="Q5" s="13" t="inlineStr">
        <x:is>
          <x:t xml:space="preserve">Tender defense against aggressive competitor pricing; requested discount protects annual volume while staying within product guidance.</x:t>
        </x:is>
      </x:c>
      <x:c r="R5" s="13" t="inlineStr">
        <x:is>
          <x:t xml:space="preserve">High</x:t>
        </x:is>
      </x:c>
      <x:c r="S5" t="inlineStr">
        <x:is>
          <x:t xml:space="preserve">Competitor price pressure</x:t>
        </x:is>
      </x:c>
      <x:c r="T5" t="inlineStr">
        <x:is>
          <x:t xml:space="preserve">Distributor</x:t>
        </x:is>
      </x:c>
      <x:c r="U5" t="inlineStr">
        <x:is>
          <x:t xml:space="preserve">Yes</x:t>
        </x:is>
      </x:c>
    </x:row>
    <x:row r="6">
      <x:c r="A6" s="13" t="inlineStr">
        <x:is>
          <x:t xml:space="preserve">DEAL-4002</x:t>
        </x:is>
      </x:c>
      <x:c r="B6" s="13" t="inlineStr">
        <x:is>
          <x:t xml:space="preserve">Retail Chain Conversion Program</x:t>
        </x:is>
      </x:c>
      <x:c r="C6" s="13" t="inlineStr">
        <x:is>
          <x:t xml:space="preserve">CUST-1002</x:t>
        </x:is>
      </x:c>
      <x:c r="D6" s="13" t="inlineStr">
        <x:is>
          <x:t xml:space="preserve">Meridian Specialty Pharmacy</x:t>
        </x:is>
      </x:c>
      <x:c r="E6" s="13" t="inlineStr">
        <x:is>
          <x:t xml:space="preserve">CUST-1002</x:t>
        </x:is>
      </x:c>
      <x:c r="F6" s="13" t="inlineStr">
        <x:is>
          <x:t xml:space="preserve">Meridian Specialty Pharmacy</x:t>
        </x:is>
      </x:c>
      <x:c r="G6" s="13" t="inlineStr">
        <x:is>
          <x:t xml:space="preserve">New Account / Launch</x:t>
        </x:is>
      </x:c>
      <x:c r="H6" s="13" t="inlineStr">
        <x:is>
          <x:t xml:space="preserve">Retail / Pharmacy Chain</x:t>
        </x:is>
      </x:c>
      <x:c r="I6" s="13" t="inlineStr">
        <x:is>
          <x:t xml:space="preserve">Region A</x:t>
        </x:is>
      </x:c>
      <x:c r="J6" s="13" t="inlineStr">
        <x:is>
          <x:t xml:space="preserve">Ethan Brooks</x:t>
        </x:is>
      </x:c>
      <x:c r="K6" s="13" t="inlineStr">
        <x:is>
          <x:t xml:space="preserve">Jordan Blake</x:t>
        </x:is>
      </x:c>
      <x:c r="L6" s="13" t="inlineStr">
        <x:is>
          <x:t xml:space="preserve">Submitted</x:t>
        </x:is>
      </x:c>
      <x:c r="M6" s="13" t="inlineStr">
        <x:is>
          <x:t xml:space="preserve">2026-08-15</x:t>
        </x:is>
      </x:c>
      <x:c r="N6" s="13" t="inlineStr">
        <x:is>
          <x:t xml:space="preserve">2026-08-20</x:t>
        </x:is>
      </x:c>
      <x:c r="O6" s="13" t="inlineStr">
        <x:is>
          <x:t xml:space="preserve">2026-11-30</x:t>
        </x:is>
      </x:c>
      <x:c r="P6" s="13" t="inlineStr">
        <x:is>
          <x:t xml:space="preserve">Net 45</x:t>
        </x:is>
      </x:c>
      <x:c r="Q6" s="13" t="inlineStr">
        <x:is>
          <x:t xml:space="preserve">Strategic launch support for a retail pharmacy chain; short-term discount expected to secure listing and unlock repeat demand.</x:t>
        </x:is>
      </x:c>
      <x:c r="R6" s="13" t="inlineStr">
        <x:is>
          <x:t xml:space="preserve">Medium</x:t>
        </x:is>
      </x:c>
      <x:c r="S6" t="inlineStr">
        <x:is>
          <x:t xml:space="preserve">New account acquisition</x:t>
        </x:is>
      </x:c>
      <x:c r="T6" t="inlineStr">
        <x:is>
          <x:t xml:space="preserve">Retail / Pharmacy Chain</x:t>
        </x:is>
      </x:c>
      <x:c r="U6" t="inlineStr">
        <x:is>
          <x:t xml:space="preserve">Yes</x:t>
        </x:is>
      </x:c>
    </x:row>
    <x:row r="7">
      <x:c r="A7" s="13" t="inlineStr">
        <x:is>
          <x:t xml:space="preserve">DEAL-4003</x:t>
        </x:is>
      </x:c>
      <x:c r="B7" s="13" t="inlineStr">
        <x:is>
          <x:t xml:space="preserve">National Buying Group Renewal</x:t>
        </x:is>
      </x:c>
      <x:c r="C7" s="13" t="inlineStr">
        <x:is>
          <x:t xml:space="preserve">CUST-1003</x:t>
        </x:is>
      </x:c>
      <x:c r="D7" s="13" t="inlineStr">
        <x:is>
          <x:t xml:space="preserve">Apex National GPO</x:t>
        </x:is>
      </x:c>
      <x:c r="E7" s="13" t="inlineStr">
        <x:is>
          <x:t xml:space="preserve">CUST-1003</x:t>
        </x:is>
      </x:c>
      <x:c r="F7" s="13" t="inlineStr">
        <x:is>
          <x:t xml:space="preserve">Apex National GPO</x:t>
        </x:is>
      </x:c>
      <x:c r="G7" s="13" t="inlineStr">
        <x:is>
          <x:t xml:space="preserve">Contract Renewal</x:t>
        </x:is>
      </x:c>
      <x:c r="H7" s="13" t="inlineStr">
        <x:is>
          <x:t xml:space="preserve">Buying Group</x:t>
        </x:is>
      </x:c>
      <x:c r="I7" s="13" t="inlineStr">
        <x:is>
          <x:t xml:space="preserve">Region A</x:t>
        </x:is>
      </x:c>
      <x:c r="J7" s="13" t="inlineStr">
        <x:is>
          <x:t xml:space="preserve">Maya Chen</x:t>
        </x:is>
      </x:c>
      <x:c r="K7" s="13" t="inlineStr">
        <x:is>
          <x:t xml:space="preserve">Jordan Blake</x:t>
        </x:is>
      </x:c>
      <x:c r="L7" s="13" t="inlineStr">
        <x:is>
          <x:t xml:space="preserve">Submitted</x:t>
        </x:is>
      </x:c>
      <x:c r="M7" s="13" t="inlineStr">
        <x:is>
          <x:t xml:space="preserve">2026-09-01</x:t>
        </x:is>
      </x:c>
      <x:c r="N7" s="13" t="inlineStr">
        <x:is>
          <x:t xml:space="preserve">2026-09-15</x:t>
        </x:is>
      </x:c>
      <x:c r="O7" s="13" t="inlineStr">
        <x:is>
          <x:t xml:space="preserve">2027-03-31</x:t>
        </x:is>
      </x:c>
      <x:c r="P7" s="13" t="inlineStr">
        <x:is>
          <x:t xml:space="preserve">Net 90</x:t>
        </x:is>
      </x:c>
      <x:c r="Q7" s="13" t="inlineStr">
        <x:is>
          <x:t xml:space="preserve">Contract renewal needed to defend incumbent position after competitor entry; proposal balances access retention with product margin guardrails.</x:t>
        </x:is>
      </x:c>
      <x:c r="R7" s="13" t="inlineStr">
        <x:is>
          <x:t xml:space="preserve">High</x:t>
        </x:is>
      </x:c>
      <x:c r="S7" t="inlineStr">
        <x:is>
          <x:t xml:space="preserve">Incumbent defense</x:t>
        </x:is>
      </x:c>
      <x:c r="T7" t="inlineStr">
        <x:is>
          <x:t xml:space="preserve">Buying Group</x:t>
        </x:is>
      </x:c>
      <x:c r="U7" t="inlineStr">
        <x:is>
          <x:t xml:space="preserve">Yes</x:t>
        </x:is>
      </x:c>
    </x:row>
    <x:row r="8">
      <x:c r="A8" s="13" t="inlineStr">
        <x:is>
          <x:t xml:space="preserve">DEAL-4004</x:t>
        </x:is>
      </x:c>
      <x:c r="B8" s="13" t="inlineStr">
        <x:is>
          <x:t xml:space="preserve">Region B Launch Stocking Offer</x:t>
        </x:is>
      </x:c>
      <x:c r="C8" s="13" t="inlineStr">
        <x:is>
          <x:t xml:space="preserve">CUST-1004</x:t>
        </x:is>
      </x:c>
      <x:c r="D8" s="13" t="inlineStr">
        <x:is>
          <x:t xml:space="preserve">HelioRx Distribution</x:t>
        </x:is>
      </x:c>
      <x:c r="E8" s="13" t="inlineStr">
        <x:is>
          <x:t xml:space="preserve">CUST-1007</x:t>
        </x:is>
      </x:c>
      <x:c r="F8" s="13" t="inlineStr">
        <x:is>
          <x:t xml:space="preserve">Orion Hospital Trust</x:t>
        </x:is>
      </x:c>
      <x:c r="G8" s="13" t="inlineStr">
        <x:is>
          <x:t xml:space="preserve">New Account / Launch</x:t>
        </x:is>
      </x:c>
      <x:c r="H8" s="13" t="inlineStr">
        <x:is>
          <x:t xml:space="preserve">Distributor</x:t>
        </x:is>
      </x:c>
      <x:c r="I8" s="13" t="inlineStr">
        <x:is>
          <x:t xml:space="preserve">Region B</x:t>
        </x:is>
      </x:c>
      <x:c r="J8" s="13" t="inlineStr">
        <x:is>
          <x:t xml:space="preserve">Sofia Romano</x:t>
        </x:is>
      </x:c>
      <x:c r="K8" s="13" t="inlineStr">
        <x:is>
          <x:t xml:space="preserve">Jordan Blake</x:t>
        </x:is>
      </x:c>
      <x:c r="L8" s="13" t="inlineStr">
        <x:is>
          <x:t xml:space="preserve">Submitted</x:t>
        </x:is>
      </x:c>
      <x:c r="M8" s="13" t="inlineStr">
        <x:is>
          <x:t xml:space="preserve">2026-08-30</x:t>
        </x:is>
      </x:c>
      <x:c r="N8" s="13" t="inlineStr">
        <x:is>
          <x:t xml:space="preserve">2026-09-10</x:t>
        </x:is>
      </x:c>
      <x:c r="O8" s="13" t="inlineStr">
        <x:is>
          <x:t xml:space="preserve">2027-01-31</x:t>
        </x:is>
      </x:c>
      <x:c r="P8" s="13" t="inlineStr">
        <x:is>
          <x:t xml:space="preserve">Net 60</x:t>
        </x:is>
      </x:c>
      <x:c r="Q8" s="13" t="inlineStr">
        <x:is>
          <x:t xml:space="preserve">Strategic launch support for new institutional demand; introductory price expected to secure preferred stocking and repeat orders.</x:t>
        </x:is>
      </x:c>
      <x:c r="R8" s="13" t="inlineStr">
        <x:is>
          <x:t xml:space="preserve">Medium</x:t>
        </x:is>
      </x:c>
      <x:c r="S8" t="inlineStr">
        <x:is>
          <x:t xml:space="preserve">New account acquisition</x:t>
        </x:is>
      </x:c>
      <x:c r="T8" t="inlineStr">
        <x:is>
          <x:t xml:space="preserve">Distributor</x:t>
        </x:is>
      </x:c>
      <x:c r="U8" t="inlineStr">
        <x:is>
          <x:t xml:space="preserve">No</x:t>
        </x:is>
      </x:c>
    </x:row>
    <x:row r="9">
      <x:c r="A9" s="13" t="inlineStr">
        <x:is>
          <x:t xml:space="preserve">DEAL-4005</x:t>
        </x:is>
      </x:c>
      <x:c r="B9" s="13" t="inlineStr">
        <x:is>
          <x:t xml:space="preserve">Institution Pilot Access Package</x:t>
        </x:is>
      </x:c>
      <x:c r="C9" s="13" t="inlineStr">
        <x:is>
          <x:t xml:space="preserve">CUST-1005</x:t>
        </x:is>
      </x:c>
      <x:c r="D9" s="13" t="inlineStr">
        <x:is>
          <x:t xml:space="preserve">Summit Oncology Clinics</x:t>
        </x:is>
      </x:c>
      <x:c r="E9" s="13" t="inlineStr">
        <x:is>
          <x:t xml:space="preserve">CUST-1005</x:t>
        </x:is>
      </x:c>
      <x:c r="F9" s="13" t="inlineStr">
        <x:is>
          <x:t xml:space="preserve">Summit Oncology Clinics</x:t>
        </x:is>
      </x:c>
      <x:c r="G9" s="13" t="inlineStr">
        <x:is>
          <x:t xml:space="preserve">New Account / Launch</x:t>
        </x:is>
      </x:c>
      <x:c r="H9" s="13" t="inlineStr">
        <x:is>
          <x:t xml:space="preserve">Hospital / Institution</x:t>
        </x:is>
      </x:c>
      <x:c r="I9" s="13" t="inlineStr">
        <x:is>
          <x:t xml:space="preserve">Region A</x:t>
        </x:is>
      </x:c>
      <x:c r="J9" s="13" t="inlineStr">
        <x:is>
          <x:t xml:space="preserve">Noah Patel</x:t>
        </x:is>
      </x:c>
      <x:c r="K9" s="13" t="inlineStr">
        <x:is>
          <x:t xml:space="preserve">Jordan Blake</x:t>
        </x:is>
      </x:c>
      <x:c r="L9" s="13" t="inlineStr">
        <x:is>
          <x:t xml:space="preserve">Submitted</x:t>
        </x:is>
      </x:c>
      <x:c r="M9" s="13" t="inlineStr">
        <x:is>
          <x:t xml:space="preserve">2026-07-20</x:t>
        </x:is>
      </x:c>
      <x:c r="N9" s="13" t="inlineStr">
        <x:is>
          <x:t xml:space="preserve">2026-07-25</x:t>
        </x:is>
      </x:c>
      <x:c r="O9" s="13" t="inlineStr">
        <x:is>
          <x:t xml:space="preserve">2026-10-31</x:t>
        </x:is>
      </x:c>
      <x:c r="P9" s="13" t="inlineStr">
        <x:is>
          <x:t xml:space="preserve">Net 30</x:t>
        </x:is>
      </x:c>
      <x:c r="Q9" s="13" t="inlineStr">
        <x:is>
          <x:t xml:space="preserve">Pilot access package for a regional institution; pricing remains within target margin and supports future standard-volume conversion.</x:t>
        </x:is>
      </x:c>
      <x:c r="R9" s="13" t="inlineStr">
        <x:is>
          <x:t xml:space="preserve">Low</x:t>
        </x:is>
      </x:c>
      <x:c r="S9" t="inlineStr">
        <x:is>
          <x:t xml:space="preserve">New account acquisition</x:t>
        </x:is>
      </x:c>
      <x:c r="T9" t="inlineStr">
        <x:is>
          <x:t xml:space="preserve">Hospital / Institution</x:t>
        </x:is>
      </x:c>
      <x:c r="U9" t="inlineStr">
        <x:is>
          <x:t xml:space="preserve">Yes</x:t>
        </x:is>
      </x:c>
    </x:row>
    <x:row r="10">
      <x:c r="A10" s="13" t="inlineStr">
        <x:is>
          <x:t xml:space="preserve">DEAL-4006</x:t>
        </x:is>
      </x:c>
      <x:c r="B10" s="13" t="inlineStr">
        <x:is>
          <x:t xml:space="preserve">Corporate Access Renewal Defense</x:t>
        </x:is>
      </x:c>
      <x:c r="C10" s="13" t="inlineStr">
        <x:is>
          <x:t xml:space="preserve">CUST-1006</x:t>
        </x:is>
      </x:c>
      <x:c r="D10" s="13" t="inlineStr">
        <x:is>
          <x:t xml:space="preserve">Cityline Payer Alliance</x:t>
        </x:is>
      </x:c>
      <x:c r="E10" s="13" t="inlineStr">
        <x:is>
          <x:t xml:space="preserve">CUST-1006</x:t>
        </x:is>
      </x:c>
      <x:c r="F10" s="13" t="inlineStr">
        <x:is>
          <x:t xml:space="preserve">Cityline Payer Alliance</x:t>
        </x:is>
      </x:c>
      <x:c r="G10" s="13" t="inlineStr">
        <x:is>
          <x:t xml:space="preserve">Contract Renewal</x:t>
        </x:is>
      </x:c>
      <x:c r="H10" s="13" t="inlineStr">
        <x:is>
          <x:t xml:space="preserve">Direct Corporate Account</x:t>
        </x:is>
      </x:c>
      <x:c r="I10" s="13" t="inlineStr">
        <x:is>
          <x:t xml:space="preserve">Region A</x:t>
        </x:is>
      </x:c>
      <x:c r="J10" s="13" t="inlineStr">
        <x:is>
          <x:t xml:space="preserve">Priya Shah</x:t>
        </x:is>
      </x:c>
      <x:c r="K10" s="13" t="inlineStr">
        <x:is>
          <x:t xml:space="preserve">Jordan Blake</x:t>
        </x:is>
      </x:c>
      <x:c r="L10" s="13" t="inlineStr">
        <x:is>
          <x:t xml:space="preserve">Submitted</x:t>
        </x:is>
      </x:c>
      <x:c r="M10" s="13" t="inlineStr">
        <x:is>
          <x:t xml:space="preserve">2026-09-15</x:t>
        </x:is>
      </x:c>
      <x:c r="N10" s="13" t="inlineStr">
        <x:is>
          <x:t xml:space="preserve">2026-10-01</x:t>
        </x:is>
      </x:c>
      <x:c r="O10" s="13" t="inlineStr">
        <x:is>
          <x:t xml:space="preserve">2027-09-30</x:t>
        </x:is>
      </x:c>
      <x:c r="P10" s="13" t="inlineStr">
        <x:is>
          <x:t xml:space="preserve">Net 90</x:t>
        </x:is>
      </x:c>
      <x:c r="Q10" s="13" t="inlineStr">
        <x:is>
          <x:t xml:space="preserve">Contract renewal needed to defend incumbent position after competitor entry; proposed terms protect covered demand while recognizing access pressure.</x:t>
        </x:is>
      </x:c>
      <x:c r="R10" s="13" t="inlineStr">
        <x:is>
          <x:t xml:space="preserve">High</x:t>
        </x:is>
      </x:c>
      <x:c r="S10" t="inlineStr">
        <x:is>
          <x:t xml:space="preserve">Incumbent defense</x:t>
        </x:is>
      </x:c>
      <x:c r="T10" t="inlineStr">
        <x:is>
          <x:t xml:space="preserve">Direct Corporate Account</x:t>
        </x:is>
      </x:c>
      <x:c r="U10" t="inlineStr">
        <x:is>
          <x:t xml:space="preserve">Yes</x:t>
        </x:is>
      </x:c>
    </x:row>
    <x:row r="11">
      <x:c r="A11" s="13" t="inlineStr">
        <x:is>
          <x:t xml:space="preserve">DEAL-4007</x:t>
        </x:is>
      </x:c>
      <x:c r="B11" s="13" t="inlineStr">
        <x:is>
          <x:t xml:space="preserve">Region C Public Tender Bid</x:t>
        </x:is>
      </x:c>
      <x:c r="C11" s="13" t="inlineStr">
        <x:is>
          <x:t xml:space="preserve">CUST-1009</x:t>
        </x:is>
      </x:c>
      <x:c r="D11" s="13" t="inlineStr">
        <x:is>
          <x:t xml:space="preserve">Crescent Public Tender Authority</x:t>
        </x:is>
      </x:c>
      <x:c r="E11" s="13" t="inlineStr">
        <x:is>
          <x:t xml:space="preserve">CUST-1009</x:t>
        </x:is>
      </x:c>
      <x:c r="F11" s="13" t="inlineStr">
        <x:is>
          <x:t xml:space="preserve">Crescent Public Tender Authority</x:t>
        </x:is>
      </x:c>
      <x:c r="G11" s="13" t="inlineStr">
        <x:is>
          <x:t xml:space="preserve">Tender</x:t>
        </x:is>
      </x:c>
      <x:c r="H11" s="13" t="inlineStr">
        <x:is>
          <x:t xml:space="preserve">Buying Group</x:t>
        </x:is>
      </x:c>
      <x:c r="I11" s="13" t="inlineStr">
        <x:is>
          <x:t xml:space="preserve">Region C</x:t>
        </x:is>
      </x:c>
      <x:c r="J11" s="13" t="inlineStr">
        <x:is>
          <x:t xml:space="preserve">Maya Chen</x:t>
        </x:is>
      </x:c>
      <x:c r="K11" s="13" t="inlineStr">
        <x:is>
          <x:t xml:space="preserve">Jordan Blake</x:t>
        </x:is>
      </x:c>
      <x:c r="L11" s="13" t="inlineStr">
        <x:is>
          <x:t xml:space="preserve">Submitted</x:t>
        </x:is>
      </x:c>
      <x:c r="M11" s="13" t="inlineStr">
        <x:is>
          <x:t xml:space="preserve">2026-10-15</x:t>
        </x:is>
      </x:c>
      <x:c r="N11" s="13" t="inlineStr">
        <x:is>
          <x:t xml:space="preserve">2026-10-30</x:t>
        </x:is>
      </x:c>
      <x:c r="O11" s="13" t="inlineStr">
        <x:is>
          <x:t xml:space="preserve">2027-04-30</x:t>
        </x:is>
      </x:c>
      <x:c r="P11" s="13" t="inlineStr">
        <x:is>
          <x:t xml:space="preserve">Net 75</x:t>
        </x:is>
      </x:c>
      <x:c r="Q11" s="13" t="inlineStr">
        <x:is>
          <x:t xml:space="preserve">Public tender bid with price visibility risk requiring pricing governance review; discount aims to retain award eligibility without breaching margin floor.</x:t>
        </x:is>
      </x:c>
      <x:c r="R11" s="13" t="inlineStr">
        <x:is>
          <x:t xml:space="preserve">Critical</x:t>
        </x:is>
      </x:c>
      <x:c r="S11" t="inlineStr">
        <x:is>
          <x:t xml:space="preserve">Public tender</x:t>
        </x:is>
      </x:c>
      <x:c r="T11" t="inlineStr">
        <x:is>
          <x:t xml:space="preserve">Buying Group</x:t>
        </x:is>
      </x:c>
      <x:c r="U11" t="inlineStr">
        <x:is>
          <x:t xml:space="preserve">Yes</x:t>
        </x:is>
      </x:c>
    </x:row>
    <x:row r="12">
      <x:c r="A12" s="13" t="inlineStr">
        <x:is>
          <x:t xml:space="preserve">DEAL-4008</x:t>
        </x:is>
      </x:c>
      <x:c r="B12" s="13" t="inlineStr">
        <x:is>
          <x:t xml:space="preserve">Institution Diagnostic Framework Launch</x:t>
        </x:is>
      </x:c>
      <x:c r="C12" s="13" t="inlineStr">
        <x:is>
          <x:t xml:space="preserve">CUST-1018</x:t>
        </x:is>
      </x:c>
      <x:c r="D12" s="13" t="inlineStr">
        <x:is>
          <x:t xml:space="preserve">Sterling Specialty Distribution</x:t>
        </x:is>
      </x:c>
      <x:c r="E12" s="13" t="inlineStr">
        <x:is>
          <x:t xml:space="preserve">CUST-1013</x:t>
        </x:is>
      </x:c>
      <x:c r="F12" s="13" t="inlineStr">
        <x:is>
          <x:t xml:space="preserve">Atlas Hospital Network</x:t>
        </x:is>
      </x:c>
      <x:c r="G12" s="13" t="inlineStr">
        <x:is>
          <x:t xml:space="preserve">New Account / Launch</x:t>
        </x:is>
      </x:c>
      <x:c r="H12" s="13" t="inlineStr">
        <x:is>
          <x:t xml:space="preserve">Distributor</x:t>
        </x:is>
      </x:c>
      <x:c r="I12" s="13" t="inlineStr">
        <x:is>
          <x:t xml:space="preserve">Region B</x:t>
        </x:is>
      </x:c>
      <x:c r="J12" s="13" t="inlineStr">
        <x:is>
          <x:t xml:space="preserve">Sofia Romano</x:t>
        </x:is>
      </x:c>
      <x:c r="K12" s="13" t="inlineStr">
        <x:is>
          <x:t xml:space="preserve">Jordan Blake</x:t>
        </x:is>
      </x:c>
      <x:c r="L12" s="13" t="inlineStr">
        <x:is>
          <x:t xml:space="preserve">Submitted</x:t>
        </x:is>
      </x:c>
      <x:c r="M12" s="13" t="inlineStr">
        <x:is>
          <x:t xml:space="preserve">2026-09-30</x:t>
        </x:is>
      </x:c>
      <x:c r="N12" s="13" t="inlineStr">
        <x:is>
          <x:t xml:space="preserve">2026-10-10</x:t>
        </x:is>
      </x:c>
      <x:c r="O12" s="13" t="inlineStr">
        <x:is>
          <x:t xml:space="preserve">2027-02-28</x:t>
        </x:is>
      </x:c>
      <x:c r="P12" s="13" t="inlineStr">
        <x:is>
          <x:t xml:space="preserve">Net 60</x:t>
        </x:is>
      </x:c>
      <x:c r="Q12" s="13" t="inlineStr">
        <x:is>
          <x:t xml:space="preserve">Strategic launch support for institutional diagnostic framework; temporary discount secures protocol inclusion and expected recurring demand.</x:t>
        </x:is>
      </x:c>
      <x:c r="R12" s="13" t="inlineStr">
        <x:is>
          <x:t xml:space="preserve">Medium</x:t>
        </x:is>
      </x:c>
      <x:c r="S12" t="inlineStr">
        <x:is>
          <x:t xml:space="preserve">New account acquisition</x:t>
        </x:is>
      </x:c>
      <x:c r="T12" t="inlineStr">
        <x:is>
          <x:t xml:space="preserve">Distributor</x:t>
        </x:is>
      </x:c>
      <x:c r="U12" t="inlineStr">
        <x:is>
          <x:t xml:space="preserve">No</x:t>
        </x:is>
      </x:c>
    </x:row>
    <x:row r="13">
      <x:c r="A13" s="13" t="inlineStr">
        <x:is>
          <x:t xml:space="preserve">DEAL-4009</x:t>
        </x:is>
      </x:c>
      <x:c r="B13" s="13" t="inlineStr">
        <x:is>
          <x:t xml:space="preserve">Corporate Immunology Competitive Defense</x:t>
        </x:is>
      </x:c>
      <x:c r="C13" s="13" t="inlineStr">
        <x:is>
          <x:t xml:space="preserve">CUST-1019</x:t>
        </x:is>
      </x:c>
      <x:c r="D13" s="13" t="inlineStr">
        <x:is>
          <x:t xml:space="preserve">BluePeak Payer Coalition</x:t>
        </x:is>
      </x:c>
      <x:c r="E13" s="13" t="inlineStr">
        <x:is>
          <x:t xml:space="preserve">CUST-1019</x:t>
        </x:is>
      </x:c>
      <x:c r="F13" s="13" t="inlineStr">
        <x:is>
          <x:t xml:space="preserve">BluePeak Payer Coalition</x:t>
        </x:is>
      </x:c>
      <x:c r="G13" s="13" t="inlineStr">
        <x:is>
          <x:t xml:space="preserve">Competitive Defense</x:t>
        </x:is>
      </x:c>
      <x:c r="H13" s="13" t="inlineStr">
        <x:is>
          <x:t xml:space="preserve">Direct Corporate Account</x:t>
        </x:is>
      </x:c>
      <x:c r="I13" s="13" t="inlineStr">
        <x:is>
          <x:t xml:space="preserve">Region A</x:t>
        </x:is>
      </x:c>
      <x:c r="J13" s="13" t="inlineStr">
        <x:is>
          <x:t xml:space="preserve">Priya Shah</x:t>
        </x:is>
      </x:c>
      <x:c r="K13" s="13" t="inlineStr">
        <x:is>
          <x:t xml:space="preserve">Jordan Blake</x:t>
        </x:is>
      </x:c>
      <x:c r="L13" s="13" t="inlineStr">
        <x:is>
          <x:t xml:space="preserve">Submitted</x:t>
        </x:is>
      </x:c>
      <x:c r="M13" s="13" t="inlineStr">
        <x:is>
          <x:t xml:space="preserve">2026-10-01</x:t>
        </x:is>
      </x:c>
      <x:c r="N13" s="13" t="inlineStr">
        <x:is>
          <x:t xml:space="preserve">2026-10-15</x:t>
        </x:is>
      </x:c>
      <x:c r="O13" s="13" t="inlineStr">
        <x:is>
          <x:t xml:space="preserve">2027-06-30</x:t>
        </x:is>
      </x:c>
      <x:c r="P13" s="13" t="inlineStr">
        <x:is>
          <x:t xml:space="preserve">Net 75</x:t>
        </x:is>
      </x:c>
      <x:c r="Q13" s="13" t="inlineStr">
        <x:is>
          <x:t xml:space="preserve">Competitive defense against aggressive bidder pricing; requested discount protects annual volume while maintaining positive gross profit.</x:t>
        </x:is>
      </x:c>
      <x:c r="R13" s="13" t="inlineStr">
        <x:is>
          <x:t xml:space="preserve">High</x:t>
        </x:is>
      </x:c>
      <x:c r="S13" t="inlineStr">
        <x:is>
          <x:t xml:space="preserve">Competitor price pressure</x:t>
        </x:is>
      </x:c>
      <x:c r="T13" t="inlineStr">
        <x:is>
          <x:t xml:space="preserve">Direct Corporate Account</x:t>
        </x:is>
      </x:c>
      <x:c r="U13" t="inlineStr">
        <x:is>
          <x:t xml:space="preserve">Yes</x:t>
        </x:is>
      </x:c>
    </x:row>
    <x:row r="14">
      <x:c r="A14" s="13" t="inlineStr">
        <x:is>
          <x:t xml:space="preserve">DEAL-4010</x:t>
        </x:is>
      </x:c>
      <x:c r="B14" s="13" t="inlineStr">
        <x:is>
          <x:t xml:space="preserve">Institution Inventory Mitigation Offer</x:t>
        </x:is>
      </x:c>
      <x:c r="C14" s="13" t="inlineStr">
        <x:is>
          <x:t xml:space="preserve">CUST-1020</x:t>
        </x:is>
      </x:c>
      <x:c r="D14" s="13" t="inlineStr">
        <x:is>
          <x:t xml:space="preserve">Metro Infusion Partners</x:t>
        </x:is>
      </x:c>
      <x:c r="E14" s="13" t="inlineStr">
        <x:is>
          <x:t xml:space="preserve">CUST-1020</x:t>
        </x:is>
      </x:c>
      <x:c r="F14" s="13" t="inlineStr">
        <x:is>
          <x:t xml:space="preserve">Metro Infusion Partners</x:t>
        </x:is>
      </x:c>
      <x:c r="G14" s="13" t="inlineStr">
        <x:is>
          <x:t xml:space="preserve">Inventory / Expiry Mitigation</x:t>
        </x:is>
      </x:c>
      <x:c r="H14" s="13" t="inlineStr">
        <x:is>
          <x:t xml:space="preserve">Hospital / Institution</x:t>
        </x:is>
      </x:c>
      <x:c r="I14" s="13" t="inlineStr">
        <x:is>
          <x:t xml:space="preserve">Region A</x:t>
        </x:is>
      </x:c>
      <x:c r="J14" s="13" t="inlineStr">
        <x:is>
          <x:t xml:space="preserve">Noah Patel</x:t>
        </x:is>
      </x:c>
      <x:c r="K14" s="13" t="inlineStr">
        <x:is>
          <x:t xml:space="preserve">Jordan Blake</x:t>
        </x:is>
      </x:c>
      <x:c r="L14" s="13" t="inlineStr">
        <x:is>
          <x:t xml:space="preserve">Submitted</x:t>
        </x:is>
      </x:c>
      <x:c r="M14" s="13" t="inlineStr">
        <x:is>
          <x:t xml:space="preserve">2026-08-20</x:t>
        </x:is>
      </x:c>
      <x:c r="N14" s="13" t="inlineStr">
        <x:is>
          <x:t xml:space="preserve">2026-09-01</x:t>
        </x:is>
      </x:c>
      <x:c r="O14" s="13" t="inlineStr">
        <x:is>
          <x:t xml:space="preserve">2026-12-15</x:t>
        </x:is>
      </x:c>
      <x:c r="P14" s="13" t="inlineStr">
        <x:is>
          <x:t xml:space="preserve">Net 45</x:t>
        </x:is>
      </x:c>
      <x:c r="Q14" s="13" t="inlineStr">
        <x:is>
          <x:t xml:space="preserve">Inventory mitigation opportunity using near-expiry stock while preserving positive gross profit and supporting repeat demand.</x:t>
        </x:is>
      </x:c>
      <x:c r="R14" s="13" t="inlineStr">
        <x:is>
          <x:t xml:space="preserve">High</x:t>
        </x:is>
      </x:c>
      <x:c r="S14" t="inlineStr">
        <x:is>
          <x:t xml:space="preserve">Inventory / expiry mitigation</x:t>
        </x:is>
      </x:c>
      <x:c r="T14" t="inlineStr">
        <x:is>
          <x:t xml:space="preserve">Hospital / Institution</x:t>
        </x:is>
      </x:c>
      <x:c r="U14" t="inlineStr">
        <x:is>
          <x:t xml:space="preserve">No</x:t>
        </x:is>
      </x:c>
    </x:row>
  </x:sheetData>
  <x:mergeCells>
    <x:mergeCell ref="A1:U1"/>
    <x:mergeCell ref="A2:U2"/>
  </x:mergeCells>
  <x:pageMargins left="0.7" right="0.7" top="0.75" bottom="0.75" header="0.3" footer="0.3"/>
  <x:tableParts count="1">
    <x:tablePart xmlns:r="http://schemas.openxmlformats.org/officeDocument/2006/relationships" r:id="R33143bbe2d044ff0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3" customWidth="1"/>
    <x:col min="2" max="2" width="8" customWidth="1"/>
    <x:col min="3" max="3" width="14" customWidth="1"/>
    <x:col min="4" max="4" width="18" customWidth="1"/>
    <x:col min="5" max="5" width="12" customWidth="1"/>
    <x:col min="6" max="6" width="16" customWidth="1"/>
    <x:col min="7" max="7" width="16" customWidth="1"/>
    <x:col min="8" max="8" width="14" customWidth="1"/>
    <x:col min="9" max="9" width="18" customWidth="1"/>
    <x:col min="10" max="10" width="18" customWidth="1"/>
    <x:col min="11" max="11" width="14" customWidth="1"/>
    <x:col min="12" max="12" width="18" customWidth="1"/>
    <x:col min="13" max="13" width="22" customWidth="1"/>
    <x:col min="14" max="14" width="18" customWidth="1"/>
    <x:col min="15" max="15" width="72" customWidth="1"/>
    <x:col min="16" max="16" width="14.5" customWidth="1"/>
    <x:col min="17" max="17" width="11.25" customWidth="1"/>
  </x:cols>
  <x:sheetData>
    <x:row r="1" ht="22.5" customHeight="1">
      <x:c r="A1" s="3" t="inlineStr">
        <x:is>
          <x:t xml:space="preserve">Sample Deal Line Items - Commercial Pricing Economics</x:t>
        </x:is>
      </x:c>
    </x:row>
    <x:row r="2" ht="25.5" customHeight="1">
      <x:c r="A2" s="6" t="inlineStr">
        <x:is>
          <x:t xml:space="preserve">Line-level commercial pricing requests with gross price, requested net price, revenue, cost, and rationale.</x:t>
        </x:is>
      </x:c>
    </x:row>
    <x:row r="4" ht="24" customHeight="1">
      <x:c r="A4" s="14" t="inlineStr">
        <x:is>
          <x:t xml:space="preserve">Deal ID</x:t>
        </x:is>
      </x:c>
      <x:c r="B4" s="14" t="inlineStr">
        <x:is>
          <x:t xml:space="preserve">Line #</x:t>
        </x:is>
      </x:c>
      <x:c r="C4" s="14" t="inlineStr">
        <x:is>
          <x:t xml:space="preserve">SKU</x:t>
        </x:is>
      </x:c>
      <x:c r="D4" s="14" t="inlineStr">
        <x:is>
          <x:t xml:space="preserve">Product Name</x:t>
        </x:is>
      </x:c>
      <x:c r="E4" s="14" t="inlineStr">
        <x:is>
          <x:t xml:space="preserve">Quantity</x:t>
        </x:is>
      </x:c>
      <x:c r="F4" s="14" t="inlineStr">
        <x:is>
          <x:t xml:space="preserve">Unit List Price</x:t>
        </x:is>
      </x:c>
      <x:c r="G4" s="14" t="inlineStr">
        <x:is>
          <x:t xml:space="preserve">Unit Gross Price</x:t>
        </x:is>
      </x:c>
      <x:c r="H4" s="14" t="inlineStr">
        <x:is>
          <x:t xml:space="preserve">Base Rebate %</x:t>
        </x:is>
      </x:c>
      <x:c r="I4" s="14" t="inlineStr">
        <x:is>
          <x:t xml:space="preserve">Requested Discount %</x:t>
        </x:is>
      </x:c>
      <x:c r="J4" s="14" t="inlineStr">
        <x:is>
          <x:t xml:space="preserve">Requested Net Price</x:t>
        </x:is>
      </x:c>
      <x:c r="K4" s="14" t="inlineStr">
        <x:is>
          <x:t xml:space="preserve">Unit Cost</x:t>
        </x:is>
      </x:c>
      <x:c r="L4" s="14" t="inlineStr">
        <x:is>
          <x:t xml:space="preserve">Gross Revenue</x:t>
        </x:is>
      </x:c>
      <x:c r="M4" s="14" t="inlineStr">
        <x:is>
          <x:t xml:space="preserve">Proposed Net Revenue</x:t>
        </x:is>
      </x:c>
      <x:c r="N4" s="14" t="inlineStr">
        <x:is>
          <x:t xml:space="preserve">Requested Delivery Date</x:t>
        </x:is>
      </x:c>
      <x:c r="O4" s="14" t="inlineStr">
        <x:is>
          <x:t xml:space="preserve">Line Commercial Rationale</x:t>
        </x:is>
      </x:c>
    </x:row>
    <x:row r="5">
      <x:c r="A5" s="13" t="inlineStr">
        <x:is>
          <x:t xml:space="preserve">DEAL-4001</x:t>
        </x:is>
      </x:c>
      <x:c r="B5" s="13" t="n">
        <x:v>1</x:v>
      </x:c>
      <x:c r="C5" s="13" t="inlineStr">
        <x:is>
          <x:t xml:space="preserve">RX-ONC-100</x:t>
        </x:is>
      </x:c>
      <x:c r="D5" s="13" t="inlineStr">
        <x:is>
          <x:t xml:space="preserve">Product Alpha</x:t>
        </x:is>
      </x:c>
      <x:c r="E5" s="15" t="n">
        <x:v>120</x:v>
      </x:c>
      <x:c r="F5" s="16" t="n">
        <x:v>1850</x:v>
      </x:c>
      <x:c r="G5" s="16" t="n">
        <x:v>1776</x:v>
      </x:c>
      <x:c r="H5" s="17" t="n">
        <x:v>0.04</x:v>
      </x:c>
      <x:c r="I5" s="17" t="n">
        <x:v>0.18</x:v>
      </x:c>
      <x:c r="J5" s="16" t="n">
        <x:v>1456.32</x:v>
      </x:c>
      <x:c r="K5" s="16" t="n">
        <x:v>555</x:v>
      </x:c>
      <x:c r="L5" s="16" t="n">
        <x:v>213120</x:v>
      </x:c>
      <x:c r="M5" s="16" t="n">
        <x:v>174758.4</x:v>
      </x:c>
      <x:c r="N5" s="18" t="inlineStr">
        <x:is>
          <x:t xml:space="preserve">2026-08-15</x:t>
        </x:is>
      </x:c>
      <x:c r="O5" s="19" t="inlineStr">
        <x:is>
          <x:t xml:space="preserve">Discount requested to match expected competitor bid while preserving committed annual volume.</x:t>
        </x:is>
      </x:c>
    </x:row>
    <x:row r="6">
      <x:c r="A6" s="13" t="inlineStr">
        <x:is>
          <x:t xml:space="preserve">DEAL-4001</x:t>
        </x:is>
      </x:c>
      <x:c r="B6" s="13" t="n">
        <x:v>2</x:v>
      </x:c>
      <x:c r="C6" s="13" t="inlineStr">
        <x:is>
          <x:t xml:space="preserve">RX-ONC-500</x:t>
        </x:is>
      </x:c>
      <x:c r="D6" s="13" t="inlineStr">
        <x:is>
          <x:t xml:space="preserve">Product Beta</x:t>
        </x:is>
      </x:c>
      <x:c r="E6" s="15" t="n">
        <x:v>40</x:v>
      </x:c>
      <x:c r="F6" s="16" t="n">
        <x:v>7200</x:v>
      </x:c>
      <x:c r="G6" s="16" t="n">
        <x:v>6840</x:v>
      </x:c>
      <x:c r="H6" s="17" t="n">
        <x:v>0.05</x:v>
      </x:c>
      <x:c r="I6" s="17" t="n">
        <x:v>0.18</x:v>
      </x:c>
      <x:c r="J6" s="16" t="n">
        <x:v>5608.8</x:v>
      </x:c>
      <x:c r="K6" s="16" t="n">
        <x:v>2160</x:v>
      </x:c>
      <x:c r="L6" s="16" t="n">
        <x:v>273600</x:v>
      </x:c>
      <x:c r="M6" s="16" t="n">
        <x:v>224352</x:v>
      </x:c>
      <x:c r="N6" s="18" t="inlineStr">
        <x:is>
          <x:t xml:space="preserve">2026-08-15</x:t>
        </x:is>
      </x:c>
      <x:c r="O6" s="19" t="inlineStr">
        <x:is>
          <x:t xml:space="preserve">Bundle line included to protect strategic volume and maintain continuity for high-value demand.</x:t>
        </x:is>
      </x:c>
    </x:row>
    <x:row r="7">
      <x:c r="A7" s="13" t="inlineStr">
        <x:is>
          <x:t xml:space="preserve">DEAL-4002</x:t>
        </x:is>
      </x:c>
      <x:c r="B7" s="13" t="n">
        <x:v>1</x:v>
      </x:c>
      <x:c r="C7" s="13" t="inlineStr">
        <x:is>
          <x:t xml:space="preserve">BIO-RA-200</x:t>
        </x:is>
      </x:c>
      <x:c r="D7" s="13" t="inlineStr">
        <x:is>
          <x:t xml:space="preserve">Product Gamma</x:t>
        </x:is>
      </x:c>
      <x:c r="E7" s="15" t="n">
        <x:v>500</x:v>
      </x:c>
      <x:c r="F7" s="16" t="n">
        <x:v>1180</x:v>
      </x:c>
      <x:c r="G7" s="16" t="n">
        <x:v>1121</x:v>
      </x:c>
      <x:c r="H7" s="17" t="n">
        <x:v>0.05</x:v>
      </x:c>
      <x:c r="I7" s="17" t="n">
        <x:v>0.12</x:v>
      </x:c>
      <x:c r="J7" s="16" t="n">
        <x:v>986.48</x:v>
      </x:c>
      <x:c r="K7" s="16" t="n">
        <x:v>413</x:v>
      </x:c>
      <x:c r="L7" s="16" t="n">
        <x:v>560500</x:v>
      </x:c>
      <x:c r="M7" s="16" t="n">
        <x:v>493240</x:v>
      </x:c>
      <x:c r="N7" s="18" t="inlineStr">
        <x:is>
          <x:t xml:space="preserve">2026-08-20</x:t>
        </x:is>
      </x:c>
      <x:c r="O7" s="19" t="inlineStr">
        <x:is>
          <x:t xml:space="preserve">Conversion discount supports account onboarding while preserving repeat-volume economics.</x:t>
        </x:is>
      </x:c>
    </x:row>
    <x:row r="8">
      <x:c r="A8" s="13" t="inlineStr">
        <x:is>
          <x:t xml:space="preserve">DEAL-4002</x:t>
        </x:is>
      </x:c>
      <x:c r="B8" s="13" t="n">
        <x:v>2</x:v>
      </x:c>
      <x:c r="C8" s="13" t="inlineStr">
        <x:is>
          <x:t xml:space="preserve">DX-COMP-01</x:t>
        </x:is>
      </x:c>
      <x:c r="D8" s="13" t="inlineStr">
        <x:is>
          <x:t xml:space="preserve">Product Zeta</x:t>
        </x:is>
      </x:c>
      <x:c r="E8" s="15" t="n">
        <x:v>75</x:v>
      </x:c>
      <x:c r="F8" s="16" t="n">
        <x:v>950</x:v>
      </x:c>
      <x:c r="G8" s="16" t="n">
        <x:v>902.5</x:v>
      </x:c>
      <x:c r="H8" s="17" t="n">
        <x:v>0.05</x:v>
      </x:c>
      <x:c r="I8" s="17" t="n">
        <x:v>0.12</x:v>
      </x:c>
      <x:c r="J8" s="16" t="n">
        <x:v>794.2</x:v>
      </x:c>
      <x:c r="K8" s="16" t="n">
        <x:v>333</x:v>
      </x:c>
      <x:c r="L8" s="16" t="n">
        <x:v>67687.5</x:v>
      </x:c>
      <x:c r="M8" s="16" t="n">
        <x:v>59565</x:v>
      </x:c>
      <x:c r="N8" s="18" t="inlineStr">
        <x:is>
          <x:t xml:space="preserve">2026-08-20</x:t>
        </x:is>
      </x:c>
      <x:c r="O8" s="19" t="inlineStr">
        <x:is>
          <x:t xml:space="preserve">Bundle line included to support account conversion and protect strategic volume.</x:t>
        </x:is>
      </x:c>
    </x:row>
    <x:row r="9">
      <x:c r="A9" s="13" t="inlineStr">
        <x:is>
          <x:t xml:space="preserve">DEAL-4003</x:t>
        </x:is>
      </x:c>
      <x:c r="B9" s="13" t="n">
        <x:v>1</x:v>
      </x:c>
      <x:c r="C9" s="13" t="inlineStr">
        <x:is>
          <x:t xml:space="preserve">RX-CARD-50</x:t>
        </x:is>
      </x:c>
      <x:c r="D9" s="13" t="inlineStr">
        <x:is>
          <x:t xml:space="preserve">Product Delta</x:t>
        </x:is>
      </x:c>
      <x:c r="E9" s="15" t="n">
        <x:v>15000</x:v>
      </x:c>
      <x:c r="F9" s="16" t="n">
        <x:v>420</x:v>
      </x:c>
      <x:c r="G9" s="16" t="n">
        <x:v>394.8</x:v>
      </x:c>
      <x:c r="H9" s="17" t="n">
        <x:v>0.06</x:v>
      </x:c>
      <x:c r="I9" s="17" t="n">
        <x:v>0.22</x:v>
      </x:c>
      <x:c r="J9" s="16" t="n">
        <x:v>307.94</x:v>
      </x:c>
      <x:c r="K9" s="16" t="n">
        <x:v>147</x:v>
      </x:c>
      <x:c r="L9" s="16" t="n">
        <x:v>5922000</x:v>
      </x:c>
      <x:c r="M9" s="16" t="n">
        <x:v>4619100</x:v>
      </x:c>
      <x:c r="N9" s="18" t="inlineStr">
        <x:is>
          <x:t xml:space="preserve">2026-09-15</x:t>
        </x:is>
      </x:c>
      <x:c r="O9" s="19" t="inlineStr">
        <x:is>
          <x:t xml:space="preserve">Higher discount requested for public tender; price visibility risk flagged for governance review.</x:t>
        </x:is>
      </x:c>
    </x:row>
    <x:row r="10">
      <x:c r="A10" s="13" t="inlineStr">
        <x:is>
          <x:t xml:space="preserve">DEAL-4003</x:t>
        </x:is>
      </x:c>
      <x:c r="B10" s="13" t="n">
        <x:v>2</x:v>
      </x:c>
      <x:c r="C10" s="13" t="inlineStr">
        <x:is>
          <x:t xml:space="preserve">RX-ONC-ORAL</x:t>
        </x:is>
      </x:c>
      <x:c r="D10" s="13" t="inlineStr">
        <x:is>
          <x:t xml:space="preserve">Product Iota</x:t>
        </x:is>
      </x:c>
      <x:c r="E10" s="15" t="n">
        <x:v>90</x:v>
      </x:c>
      <x:c r="F10" s="16" t="n">
        <x:v>9400</x:v>
      </x:c>
      <x:c r="G10" s="16" t="n">
        <x:v>9024</x:v>
      </x:c>
      <x:c r="H10" s="17" t="n">
        <x:v>0.04</x:v>
      </x:c>
      <x:c r="I10" s="17" t="n">
        <x:v>0.22</x:v>
      </x:c>
      <x:c r="J10" s="16" t="n">
        <x:v>7038.72</x:v>
      </x:c>
      <x:c r="K10" s="16" t="n">
        <x:v>2820</x:v>
      </x:c>
      <x:c r="L10" s="16" t="n">
        <x:v>812160</x:v>
      </x:c>
      <x:c r="M10" s="16" t="n">
        <x:v>633484.8</x:v>
      </x:c>
      <x:c r="N10" s="18" t="inlineStr">
        <x:is>
          <x:t xml:space="preserve">2026-09-20</x:t>
        </x:is>
      </x:c>
      <x:c r="O10" s="19" t="inlineStr">
        <x:is>
          <x:t xml:space="preserve">Access bundle supports broader award scope while keeping positive gross profit.</x:t>
        </x:is>
      </x:c>
    </x:row>
    <x:row r="11">
      <x:c r="A11" s="13" t="inlineStr">
        <x:is>
          <x:t xml:space="preserve">DEAL-4004</x:t>
        </x:is>
      </x:c>
      <x:c r="B11" s="13" t="n">
        <x:v>1</x:v>
      </x:c>
      <x:c r="C11" s="13" t="inlineStr">
        <x:is>
          <x:t xml:space="preserve">RX-RARE-10</x:t>
        </x:is>
      </x:c>
      <x:c r="D11" s="13" t="inlineStr">
        <x:is>
          <x:t xml:space="preserve">Product Epsilon</x:t>
        </x:is>
      </x:c>
      <x:c r="E11" s="15" t="n">
        <x:v>20</x:v>
      </x:c>
      <x:c r="F11" s="16" t="n">
        <x:v>28600</x:v>
      </x:c>
      <x:c r="G11" s="16" t="n">
        <x:v>27170</x:v>
      </x:c>
      <x:c r="H11" s="17" t="n">
        <x:v>0.05</x:v>
      </x:c>
      <x:c r="I11" s="17" t="n">
        <x:v>0.34</x:v>
      </x:c>
      <x:c r="J11" s="16" t="n">
        <x:v>17932.2</x:v>
      </x:c>
      <x:c r="K11" s="16" t="n">
        <x:v>7150</x:v>
      </x:c>
      <x:c r="L11" s="16" t="n">
        <x:v>543400</x:v>
      </x:c>
      <x:c r="M11" s="16" t="n">
        <x:v>358644</x:v>
      </x:c>
      <x:c r="N11" s="18" t="inlineStr">
        <x:is>
          <x:t xml:space="preserve">2026-08-30</x:t>
        </x:is>
      </x:c>
      <x:c r="O11" s="19" t="inlineStr">
        <x:is>
          <x:t xml:space="preserve">Launch support discount requested to secure stocking commitment in a new regional account.</x:t>
        </x:is>
      </x:c>
    </x:row>
    <x:row r="12">
      <x:c r="A12" s="13" t="inlineStr">
        <x:is>
          <x:t xml:space="preserve">DEAL-4004</x:t>
        </x:is>
      </x:c>
      <x:c r="B12" s="13" t="n">
        <x:v>2</x:v>
      </x:c>
      <x:c r="C12" s="13" t="inlineStr">
        <x:is>
          <x:t xml:space="preserve">RX-RARE-INF</x:t>
        </x:is>
      </x:c>
      <x:c r="D12" s="13" t="inlineStr">
        <x:is>
          <x:t xml:space="preserve">Product Kappa</x:t>
        </x:is>
      </x:c>
      <x:c r="E12" s="15" t="n">
        <x:v>10</x:v>
      </x:c>
      <x:c r="F12" s="16" t="n">
        <x:v>34800</x:v>
      </x:c>
      <x:c r="G12" s="16" t="n">
        <x:v>33060</x:v>
      </x:c>
      <x:c r="H12" s="17" t="n">
        <x:v>0.05</x:v>
      </x:c>
      <x:c r="I12" s="17" t="n">
        <x:v>0.34</x:v>
      </x:c>
      <x:c r="J12" s="16" t="n">
        <x:v>21819.6</x:v>
      </x:c>
      <x:c r="K12" s="16" t="n">
        <x:v>8700</x:v>
      </x:c>
      <x:c r="L12" s="16" t="n">
        <x:v>330600</x:v>
      </x:c>
      <x:c r="M12" s="16" t="n">
        <x:v>218196</x:v>
      </x:c>
      <x:c r="N12" s="18" t="inlineStr">
        <x:is>
          <x:t xml:space="preserve">2026-09-10</x:t>
        </x:is>
      </x:c>
      <x:c r="O12" s="19" t="inlineStr">
        <x:is>
          <x:t xml:space="preserve">Bundle line supports initial account conversion and repeat demand creation.</x:t>
        </x:is>
      </x:c>
    </x:row>
    <x:row r="13">
      <x:c r="A13" s="13" t="inlineStr">
        <x:is>
          <x:t xml:space="preserve">DEAL-4005</x:t>
        </x:is>
      </x:c>
      <x:c r="B13" s="13" t="n">
        <x:v>1</x:v>
      </x:c>
      <x:c r="C13" s="13" t="inlineStr">
        <x:is>
          <x:t xml:space="preserve">BIO-RA-200</x:t>
        </x:is>
      </x:c>
      <x:c r="D13" s="13" t="inlineStr">
        <x:is>
          <x:t xml:space="preserve">Product Gamma</x:t>
        </x:is>
      </x:c>
      <x:c r="E13" s="15" t="n">
        <x:v>180</x:v>
      </x:c>
      <x:c r="F13" s="16" t="n">
        <x:v>1180</x:v>
      </x:c>
      <x:c r="G13" s="16" t="n">
        <x:v>1121</x:v>
      </x:c>
      <x:c r="H13" s="17" t="n">
        <x:v>0.05</x:v>
      </x:c>
      <x:c r="I13" s="17" t="n">
        <x:v>0.05</x:v>
      </x:c>
      <x:c r="J13" s="16" t="n">
        <x:v>1064.95</x:v>
      </x:c>
      <x:c r="K13" s="16" t="n">
        <x:v>413</x:v>
      </x:c>
      <x:c r="L13" s="16" t="n">
        <x:v>201780</x:v>
      </x:c>
      <x:c r="M13" s="16" t="n">
        <x:v>191691</x:v>
      </x:c>
      <x:c r="N13" s="18" t="inlineStr">
        <x:is>
          <x:t xml:space="preserve">2026-07-25</x:t>
        </x:is>
      </x:c>
      <x:c r="O13" s="19" t="inlineStr">
        <x:is>
          <x:t xml:space="preserve">Limited discount supports pilot conversion while staying within standard commercial guidance.</x:t>
        </x:is>
      </x:c>
    </x:row>
    <x:row r="14">
      <x:c r="A14" s="13" t="inlineStr">
        <x:is>
          <x:t xml:space="preserve">DEAL-4005</x:t>
        </x:is>
      </x:c>
      <x:c r="B14" s="13" t="n">
        <x:v>2</x:v>
      </x:c>
      <x:c r="C14" s="13" t="inlineStr">
        <x:is>
          <x:t xml:space="preserve">DX-COMP-01</x:t>
        </x:is>
      </x:c>
      <x:c r="D14" s="13" t="inlineStr">
        <x:is>
          <x:t xml:space="preserve">Product Zeta</x:t>
        </x:is>
      </x:c>
      <x:c r="E14" s="15" t="n">
        <x:v>80</x:v>
      </x:c>
      <x:c r="F14" s="16" t="n">
        <x:v>950</x:v>
      </x:c>
      <x:c r="G14" s="16" t="n">
        <x:v>902.5</x:v>
      </x:c>
      <x:c r="H14" s="17" t="n">
        <x:v>0.05</x:v>
      </x:c>
      <x:c r="I14" s="17" t="n">
        <x:v>0.05</x:v>
      </x:c>
      <x:c r="J14" s="16" t="n">
        <x:v>857.38</x:v>
      </x:c>
      <x:c r="K14" s="16" t="n">
        <x:v>333</x:v>
      </x:c>
      <x:c r="L14" s="16" t="n">
        <x:v>72200</x:v>
      </x:c>
      <x:c r="M14" s="16" t="n">
        <x:v>68590.39999999999</x:v>
      </x:c>
      <x:c r="N14" s="18" t="inlineStr">
        <x:is>
          <x:t xml:space="preserve">2026-07-25</x:t>
        </x:is>
      </x:c>
      <x:c r="O14" s="19" t="inlineStr">
        <x:is>
          <x:t xml:space="preserve">Bundle line included to support account conversion and protect strategic volume.</x:t>
        </x:is>
      </x:c>
    </x:row>
    <x:row r="15">
      <x:c r="A15" s="13" t="inlineStr">
        <x:is>
          <x:t xml:space="preserve">DEAL-4006</x:t>
        </x:is>
      </x:c>
      <x:c r="B15" s="13" t="n">
        <x:v>1</x:v>
      </x:c>
      <x:c r="C15" s="13" t="inlineStr">
        <x:is>
          <x:t xml:space="preserve">RX-CARD-50</x:t>
        </x:is>
      </x:c>
      <x:c r="D15" s="13" t="inlineStr">
        <x:is>
          <x:t xml:space="preserve">Product Delta</x:t>
        </x:is>
      </x:c>
      <x:c r="E15" s="15" t="n">
        <x:v>22000</x:v>
      </x:c>
      <x:c r="F15" s="16" t="n">
        <x:v>420</x:v>
      </x:c>
      <x:c r="G15" s="16" t="n">
        <x:v>394.8</x:v>
      </x:c>
      <x:c r="H15" s="17" t="n">
        <x:v>0.06</x:v>
      </x:c>
      <x:c r="I15" s="17" t="n">
        <x:v>0.3</x:v>
      </x:c>
      <x:c r="J15" s="16" t="n">
        <x:v>276.36</x:v>
      </x:c>
      <x:c r="K15" s="16" t="n">
        <x:v>147</x:v>
      </x:c>
      <x:c r="L15" s="16" t="n">
        <x:v>8685600</x:v>
      </x:c>
      <x:c r="M15" s="16" t="n">
        <x:v>6079920</x:v>
      </x:c>
      <x:c r="N15" s="18" t="inlineStr">
        <x:is>
          <x:t xml:space="preserve">2026-10-01</x:t>
        </x:is>
      </x:c>
      <x:c r="O15" s="19" t="inlineStr">
        <x:is>
          <x:t xml:space="preserve">Contract renewal discount defends incumbent position after competitor entry.</x:t>
        </x:is>
      </x:c>
    </x:row>
    <x:row r="16">
      <x:c r="A16" s="13" t="inlineStr">
        <x:is>
          <x:t xml:space="preserve">DEAL-4006</x:t>
        </x:is>
      </x:c>
      <x:c r="B16" s="13" t="n">
        <x:v>2</x:v>
      </x:c>
      <x:c r="C16" s="13" t="inlineStr">
        <x:is>
          <x:t xml:space="preserve">RX-HOSP-20</x:t>
        </x:is>
      </x:c>
      <x:c r="D16" s="13" t="inlineStr">
        <x:is>
          <x:t xml:space="preserve">Product Eta</x:t>
        </x:is>
      </x:c>
      <x:c r="E16" s="15" t="n">
        <x:v>900</x:v>
      </x:c>
      <x:c r="F16" s="16" t="n">
        <x:v>1320</x:v>
      </x:c>
      <x:c r="G16" s="16" t="n">
        <x:v>1240.8</x:v>
      </x:c>
      <x:c r="H16" s="17" t="n">
        <x:v>0.06</x:v>
      </x:c>
      <x:c r="I16" s="17" t="n">
        <x:v>0.3</x:v>
      </x:c>
      <x:c r="J16" s="16" t="n">
        <x:v>868.5599999999999</x:v>
      </x:c>
      <x:c r="K16" s="16" t="n">
        <x:v>462</x:v>
      </x:c>
      <x:c r="L16" s="16" t="n">
        <x:v>1116720</x:v>
      </x:c>
      <x:c r="M16" s="16" t="n">
        <x:v>781704</x:v>
      </x:c>
      <x:c r="N16" s="18" t="inlineStr">
        <x:is>
          <x:t xml:space="preserve">2026-10-01</x:t>
        </x:is>
      </x:c>
      <x:c r="O16" s="19" t="inlineStr">
        <x:is>
          <x:t xml:space="preserve">Bundle line preserves institutional volume and protects renewal scope.</x:t>
        </x:is>
      </x:c>
    </x:row>
    <x:row r="17">
      <x:c r="A17" s="13" t="inlineStr">
        <x:is>
          <x:t xml:space="preserve">DEAL-4007</x:t>
        </x:is>
      </x:c>
      <x:c r="B17" s="13" t="n">
        <x:v>1</x:v>
      </x:c>
      <x:c r="C17" s="13" t="inlineStr">
        <x:is>
          <x:t xml:space="preserve">RX-ONC-100</x:t>
        </x:is>
      </x:c>
      <x:c r="D17" s="13" t="inlineStr">
        <x:is>
          <x:t xml:space="preserve">Product Alpha</x:t>
        </x:is>
      </x:c>
      <x:c r="E17" s="15" t="n">
        <x:v>600</x:v>
      </x:c>
      <x:c r="F17" s="16" t="n">
        <x:v>1850</x:v>
      </x:c>
      <x:c r="G17" s="16" t="n">
        <x:v>1776</x:v>
      </x:c>
      <x:c r="H17" s="17" t="n">
        <x:v>0.04</x:v>
      </x:c>
      <x:c r="I17" s="17" t="n">
        <x:v>0.28</x:v>
      </x:c>
      <x:c r="J17" s="16" t="n">
        <x:v>1278.72</x:v>
      </x:c>
      <x:c r="K17" s="16" t="n">
        <x:v>555</x:v>
      </x:c>
      <x:c r="L17" s="16" t="n">
        <x:v>1065600</x:v>
      </x:c>
      <x:c r="M17" s="16" t="n">
        <x:v>767232</x:v>
      </x:c>
      <x:c r="N17" s="18" t="inlineStr">
        <x:is>
          <x:t xml:space="preserve">2026-10-30</x:t>
        </x:is>
      </x:c>
      <x:c r="O17" s="19" t="inlineStr">
        <x:is>
          <x:t xml:space="preserve">Higher discount requested for public tender; price visibility risk flagged.</x:t>
        </x:is>
      </x:c>
    </x:row>
    <x:row r="18">
      <x:c r="A18" s="13" t="inlineStr">
        <x:is>
          <x:t xml:space="preserve">DEAL-4007</x:t>
        </x:is>
      </x:c>
      <x:c r="B18" s="13" t="n">
        <x:v>2</x:v>
      </x:c>
      <x:c r="C18" s="13" t="inlineStr">
        <x:is>
          <x:t xml:space="preserve">RX-HOSP-20</x:t>
        </x:is>
      </x:c>
      <x:c r="D18" s="13" t="inlineStr">
        <x:is>
          <x:t xml:space="preserve">Product Eta</x:t>
        </x:is>
      </x:c>
      <x:c r="E18" s="15" t="n">
        <x:v>1200</x:v>
      </x:c>
      <x:c r="F18" s="16" t="n">
        <x:v>1320</x:v>
      </x:c>
      <x:c r="G18" s="16" t="n">
        <x:v>1240.8</x:v>
      </x:c>
      <x:c r="H18" s="17" t="n">
        <x:v>0.06</x:v>
      </x:c>
      <x:c r="I18" s="17" t="n">
        <x:v>0.28</x:v>
      </x:c>
      <x:c r="J18" s="16" t="n">
        <x:v>893.38</x:v>
      </x:c>
      <x:c r="K18" s="16" t="n">
        <x:v>462</x:v>
      </x:c>
      <x:c r="L18" s="16" t="n">
        <x:v>1488960</x:v>
      </x:c>
      <x:c r="M18" s="16" t="n">
        <x:v>1072056</x:v>
      </x:c>
      <x:c r="N18" s="18" t="inlineStr">
        <x:is>
          <x:t xml:space="preserve">2026-10-30</x:t>
        </x:is>
      </x:c>
      <x:c r="O18" s="19" t="inlineStr">
        <x:is>
          <x:t xml:space="preserve">Tender support line included to protect award volume across the full package.</x:t>
        </x:is>
      </x:c>
    </x:row>
    <x:row r="19">
      <x:c r="A19" s="13" t="inlineStr">
        <x:is>
          <x:t xml:space="preserve">DEAL-4008</x:t>
        </x:is>
      </x:c>
      <x:c r="B19" s="13" t="n">
        <x:v>1</x:v>
      </x:c>
      <x:c r="C19" s="13" t="inlineStr">
        <x:is>
          <x:t xml:space="preserve">DX-GENE-02</x:t>
        </x:is>
      </x:c>
      <x:c r="D19" s="13" t="inlineStr">
        <x:is>
          <x:t xml:space="preserve">Product Lambda</x:t>
        </x:is>
      </x:c>
      <x:c r="E19" s="15" t="n">
        <x:v>250</x:v>
      </x:c>
      <x:c r="F19" s="16" t="n">
        <x:v>1280</x:v>
      </x:c>
      <x:c r="G19" s="16" t="n">
        <x:v>1216</x:v>
      </x:c>
      <x:c r="H19" s="17" t="n">
        <x:v>0.05</x:v>
      </x:c>
      <x:c r="I19" s="17" t="n">
        <x:v>0.16</x:v>
      </x:c>
      <x:c r="J19" s="16" t="n">
        <x:v>1021.44</x:v>
      </x:c>
      <x:c r="K19" s="16" t="n">
        <x:v>448</x:v>
      </x:c>
      <x:c r="L19" s="16" t="n">
        <x:v>304000</x:v>
      </x:c>
      <x:c r="M19" s="16" t="n">
        <x:v>255360</x:v>
      </x:c>
      <x:c r="N19" s="18" t="inlineStr">
        <x:is>
          <x:t xml:space="preserve">2026-10-10</x:t>
        </x:is>
      </x:c>
      <x:c r="O19" s="19" t="inlineStr">
        <x:is>
          <x:t xml:space="preserve">Strategic launch support discount expected to secure framework listing and repeat demand.</x:t>
        </x:is>
      </x:c>
    </x:row>
    <x:row r="20">
      <x:c r="A20" s="13" t="inlineStr">
        <x:is>
          <x:t xml:space="preserve">DEAL-4008</x:t>
        </x:is>
      </x:c>
      <x:c r="B20" s="13" t="n">
        <x:v>2</x:v>
      </x:c>
      <x:c r="C20" s="13" t="inlineStr">
        <x:is>
          <x:t xml:space="preserve">RX-ONC-ORAL</x:t>
        </x:is>
      </x:c>
      <x:c r="D20" s="13" t="inlineStr">
        <x:is>
          <x:t xml:space="preserve">Product Iota</x:t>
        </x:is>
      </x:c>
      <x:c r="E20" s="15" t="n">
        <x:v>70</x:v>
      </x:c>
      <x:c r="F20" s="16" t="n">
        <x:v>9400</x:v>
      </x:c>
      <x:c r="G20" s="16" t="n">
        <x:v>9024</x:v>
      </x:c>
      <x:c r="H20" s="17" t="n">
        <x:v>0.04</x:v>
      </x:c>
      <x:c r="I20" s="17" t="n">
        <x:v>0.16</x:v>
      </x:c>
      <x:c r="J20" s="16" t="n">
        <x:v>7580.16</x:v>
      </x:c>
      <x:c r="K20" s="16" t="n">
        <x:v>2820</x:v>
      </x:c>
      <x:c r="L20" s="16" t="n">
        <x:v>631680</x:v>
      </x:c>
      <x:c r="M20" s="16" t="n">
        <x:v>530611.2</x:v>
      </x:c>
      <x:c r="N20" s="18" t="inlineStr">
        <x:is>
          <x:t xml:space="preserve">2026-10-15</x:t>
        </x:is>
      </x:c>
      <x:c r="O20" s="19" t="inlineStr">
        <x:is>
          <x:t xml:space="preserve">Bundle line included to support account conversion and protect strategic volume.</x:t>
        </x:is>
      </x:c>
    </x:row>
    <x:row r="21">
      <x:c r="A21" s="13" t="inlineStr">
        <x:is>
          <x:t xml:space="preserve">DEAL-4009</x:t>
        </x:is>
      </x:c>
      <x:c r="B21" s="13" t="n">
        <x:v>1</x:v>
      </x:c>
      <x:c r="C21" s="13" t="inlineStr">
        <x:is>
          <x:t xml:space="preserve">BIO-DERM-80</x:t>
        </x:is>
      </x:c>
      <x:c r="D21" s="13" t="inlineStr">
        <x:is>
          <x:t xml:space="preserve">Product Theta</x:t>
        </x:is>
      </x:c>
      <x:c r="E21" s="15" t="n">
        <x:v>850</x:v>
      </x:c>
      <x:c r="F21" s="16" t="n">
        <x:v>980</x:v>
      </x:c>
      <x:c r="G21" s="16" t="n">
        <x:v>931</x:v>
      </x:c>
      <x:c r="H21" s="17" t="n">
        <x:v>0.05</x:v>
      </x:c>
      <x:c r="I21" s="17" t="n">
        <x:v>0.24</x:v>
      </x:c>
      <x:c r="J21" s="16" t="n">
        <x:v>707.5599999999999</x:v>
      </x:c>
      <x:c r="K21" s="16" t="n">
        <x:v>343</x:v>
      </x:c>
      <x:c r="L21" s="16" t="n">
        <x:v>791350</x:v>
      </x:c>
      <x:c r="M21" s="16" t="n">
        <x:v>601426</x:v>
      </x:c>
      <x:c r="N21" s="18" t="inlineStr">
        <x:is>
          <x:t xml:space="preserve">2026-10-15</x:t>
        </x:is>
      </x:c>
      <x:c r="O21" s="19" t="inlineStr">
        <x:is>
          <x:t xml:space="preserve">Discount requested to match expected competitor bid while preserving volume commitment.</x:t>
        </x:is>
      </x:c>
    </x:row>
    <x:row r="22">
      <x:c r="A22" s="13" t="inlineStr">
        <x:is>
          <x:t xml:space="preserve">DEAL-4009</x:t>
        </x:is>
      </x:c>
      <x:c r="B22" s="13" t="n">
        <x:v>2</x:v>
      </x:c>
      <x:c r="C22" s="13" t="inlineStr">
        <x:is>
          <x:t xml:space="preserve">BIO-RA-200</x:t>
        </x:is>
      </x:c>
      <x:c r="D22" s="13" t="inlineStr">
        <x:is>
          <x:t xml:space="preserve">Product Gamma</x:t>
        </x:is>
      </x:c>
      <x:c r="E22" s="15" t="n">
        <x:v>700</x:v>
      </x:c>
      <x:c r="F22" s="16" t="n">
        <x:v>1180</x:v>
      </x:c>
      <x:c r="G22" s="16" t="n">
        <x:v>1121</x:v>
      </x:c>
      <x:c r="H22" s="17" t="n">
        <x:v>0.05</x:v>
      </x:c>
      <x:c r="I22" s="17" t="n">
        <x:v>0.24</x:v>
      </x:c>
      <x:c r="J22" s="16" t="n">
        <x:v>851.96</x:v>
      </x:c>
      <x:c r="K22" s="16" t="n">
        <x:v>413</x:v>
      </x:c>
      <x:c r="L22" s="16" t="n">
        <x:v>784700</x:v>
      </x:c>
      <x:c r="M22" s="16" t="n">
        <x:v>596372</x:v>
      </x:c>
      <x:c r="N22" s="18" t="inlineStr">
        <x:is>
          <x:t xml:space="preserve">2026-10-15</x:t>
        </x:is>
      </x:c>
      <x:c r="O22" s="19" t="inlineStr">
        <x:is>
          <x:t xml:space="preserve">Competitive defense line protects strategic volume in a multi-product access request.</x:t>
        </x:is>
      </x:c>
    </x:row>
    <x:row r="23">
      <x:c r="A23" s="13" t="inlineStr">
        <x:is>
          <x:t xml:space="preserve">DEAL-4010</x:t>
        </x:is>
      </x:c>
      <x:c r="B23" s="13" t="n">
        <x:v>1</x:v>
      </x:c>
      <x:c r="C23" s="13" t="inlineStr">
        <x:is>
          <x:t xml:space="preserve">RX-RARE-INF</x:t>
        </x:is>
      </x:c>
      <x:c r="D23" s="13" t="inlineStr">
        <x:is>
          <x:t xml:space="preserve">Product Kappa</x:t>
        </x:is>
      </x:c>
      <x:c r="E23" s="15" t="n">
        <x:v>14</x:v>
      </x:c>
      <x:c r="F23" s="16" t="n">
        <x:v>34800</x:v>
      </x:c>
      <x:c r="G23" s="16" t="n">
        <x:v>33060</x:v>
      </x:c>
      <x:c r="H23" s="17" t="n">
        <x:v>0.05</x:v>
      </x:c>
      <x:c r="I23" s="17" t="n">
        <x:v>0.36</x:v>
      </x:c>
      <x:c r="J23" s="16" t="n">
        <x:v>21158.4</x:v>
      </x:c>
      <x:c r="K23" s="16" t="n">
        <x:v>8700</x:v>
      </x:c>
      <x:c r="L23" s="16" t="n">
        <x:v>462840</x:v>
      </x:c>
      <x:c r="M23" s="16" t="n">
        <x:v>296217.6</x:v>
      </x:c>
      <x:c r="N23" s="18" t="inlineStr">
        <x:is>
          <x:t xml:space="preserve">2026-09-01</x:t>
        </x:is>
      </x:c>
      <x:c r="O23" s="19" t="inlineStr">
        <x:is>
          <x:t xml:space="preserve">Near-expiry allocation proposed to avoid write-off while maintaining positive gross profit.</x:t>
        </x:is>
      </x:c>
    </x:row>
    <x:row r="24">
      <x:c r="A24" s="13" t="inlineStr">
        <x:is>
          <x:t xml:space="preserve">DEAL-4010</x:t>
        </x:is>
      </x:c>
      <x:c r="B24" s="13" t="n">
        <x:v>2</x:v>
      </x:c>
      <x:c r="C24" s="13" t="inlineStr">
        <x:is>
          <x:t xml:space="preserve">RX-RARE-10</x:t>
        </x:is>
      </x:c>
      <x:c r="D24" s="13" t="inlineStr">
        <x:is>
          <x:t xml:space="preserve">Product Epsilon</x:t>
        </x:is>
      </x:c>
      <x:c r="E24" s="15" t="n">
        <x:v>12</x:v>
      </x:c>
      <x:c r="F24" s="16" t="n">
        <x:v>28600</x:v>
      </x:c>
      <x:c r="G24" s="16" t="n">
        <x:v>27170</x:v>
      </x:c>
      <x:c r="H24" s="17" t="n">
        <x:v>0.05</x:v>
      </x:c>
      <x:c r="I24" s="17" t="n">
        <x:v>0.36</x:v>
      </x:c>
      <x:c r="J24" s="16" t="n">
        <x:v>17388.8</x:v>
      </x:c>
      <x:c r="K24" s="16" t="n">
        <x:v>7150</x:v>
      </x:c>
      <x:c r="L24" s="16" t="n">
        <x:v>326040</x:v>
      </x:c>
      <x:c r="M24" s="16" t="n">
        <x:v>208665.6</x:v>
      </x:c>
      <x:c r="N24" s="18" t="inlineStr">
        <x:is>
          <x:t xml:space="preserve">2026-09-01</x:t>
        </x:is>
      </x:c>
      <x:c r="O24" s="19" t="inlineStr">
        <x:is>
          <x:t xml:space="preserve">Inventory mitigation discount supports uptake of aging stock while preserving contribution.</x:t>
        </x:is>
      </x:c>
    </x:row>
  </x:sheetData>
  <x:mergeCells>
    <x:mergeCell ref="A1:O1"/>
    <x:mergeCell ref="A2:O2"/>
  </x:mergeCells>
  <x:pageMargins left="0.7" right="0.7" top="0.75" bottom="0.75" header="0.3" footer="0.3"/>
  <x:tableParts count="1">
    <x:tablePart xmlns:r="http://schemas.openxmlformats.org/officeDocument/2006/relationships" r:id="Re4948bf1290a4fe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3" customWidth="1"/>
    <x:col min="2" max="2" width="32" customWidth="1"/>
    <x:col min="3" max="3" width="28" customWidth="1"/>
    <x:col min="4" max="4" width="28" customWidth="1"/>
    <x:col min="5" max="5" width="17" customWidth="1"/>
    <x:col min="6" max="6" width="20" customWidth="1"/>
    <x:col min="7" max="7" width="17" customWidth="1"/>
    <x:col min="8" max="8" width="12" customWidth="1"/>
    <x:col min="9" max="9" width="16" customWidth="1"/>
    <x:col min="10" max="10" width="14" customWidth="1"/>
    <x:col min="11" max="11" width="18" customWidth="1"/>
    <x:col min="12" max="12" width="28" customWidth="1"/>
    <x:col min="13" max="13" width="16" customWidth="1"/>
    <x:col min="14" max="14" width="56" customWidth="1"/>
    <x:col min="15" max="15" width="34" customWidth="1"/>
    <x:col min="16" max="16" width="15" customWidth="1"/>
    <x:col min="17" max="17" width="24" customWidth="1"/>
  </x:cols>
  <x:sheetData>
    <x:row r="1" ht="22.5" customHeight="1">
      <x:c r="A1" s="3" t="inlineStr">
        <x:is>
          <x:t xml:space="preserve">Deal Summary - Executive Approval Summary</x:t>
        </x:is>
      </x:c>
    </x:row>
    <x:row r="2" ht="25.5" customHeight="1">
      <x:c r="A2" s="6" t="inlineStr">
        <x:is>
          <x:t xml:space="preserve">Calculated from Deal Header and Line Items; risk score, route, and recommendation use transparent approval rules.</x:t>
        </x:is>
      </x:c>
    </x:row>
    <x:row r="4" ht="24" customHeight="1">
      <x:c r="A4" s="14" t="inlineStr">
        <x:is>
          <x:t xml:space="preserve">Deal ID</x:t>
        </x:is>
      </x:c>
      <x:c r="B4" s="14" t="inlineStr">
        <x:is>
          <x:t xml:space="preserve">Deal Title</x:t>
        </x:is>
      </x:c>
      <x:c r="C4" s="14" t="inlineStr">
        <x:is>
          <x:t xml:space="preserve">Sold-To Customer</x:t>
        </x:is>
      </x:c>
      <x:c r="D4" s="14" t="inlineStr">
        <x:is>
          <x:t xml:space="preserve">End Account</x:t>
        </x:is>
      </x:c>
      <x:c r="E4" s="14" t="inlineStr">
        <x:is>
          <x:t xml:space="preserve">Gross Revenue</x:t>
        </x:is>
      </x:c>
      <x:c r="F4" s="14" t="inlineStr">
        <x:is>
          <x:t xml:space="preserve">Proposed Net Revenue</x:t>
        </x:is>
      </x:c>
      <x:c r="G4" s="14" t="inlineStr">
        <x:is>
          <x:t xml:space="preserve">Discount Amount</x:t>
        </x:is>
      </x:c>
      <x:c r="H4" s="14" t="inlineStr">
        <x:is>
          <x:t xml:space="preserve">Discount %</x:t>
        </x:is>
      </x:c>
      <x:c r="I4" s="14" t="inlineStr">
        <x:is>
          <x:t xml:space="preserve">Gross Profit</x:t>
        </x:is>
      </x:c>
      <x:c r="J4" s="14" t="inlineStr">
        <x:is>
          <x:t xml:space="preserve">Gross Margin %</x:t>
        </x:is>
      </x:c>
      <x:c r="K4" s="14" t="inlineStr">
        <x:is>
          <x:t xml:space="preserve">KAM Risk Assessment</x:t>
        </x:is>
      </x:c>
      <x:c r="L4" s="14" t="inlineStr">
        <x:is>
          <x:t xml:space="preserve">Risk Reason</x:t>
        </x:is>
      </x:c>
      <x:c r="M4" s="14" t="inlineStr">
        <x:is>
          <x:t xml:space="preserve">System Risk Score</x:t>
        </x:is>
      </x:c>
      <x:c r="N4" s="14" t="inlineStr">
        <x:is>
          <x:t xml:space="preserve">Approval Route</x:t>
        </x:is>
      </x:c>
      <x:c r="O4" s="14" t="inlineStr">
        <x:is>
          <x:t xml:space="preserve">Business Recommendation</x:t>
        </x:is>
      </x:c>
      <x:c r="P4" s="14" t="inlineStr">
        <x:is>
          <x:t xml:space="preserve">Status</x:t>
        </x:is>
      </x:c>
      <x:c r="Q4" s="14" t="inlineStr">
        <x:is>
          <x:t xml:space="preserve">Included In Latest Financial Plan</x:t>
        </x:is>
      </x:c>
    </x:row>
    <x:row r="5">
      <x:c r="A5" s="13" t="inlineStr">
        <x:is>
          <x:t xml:space="preserve">DEAL-4001</x:t>
        </x:is>
      </x:c>
      <x:c r="B5" s="13" t="inlineStr">
        <x:is>
          <x:t xml:space="preserve">Region A Infusion Tender Defense</x:t>
        </x:is>
      </x:c>
      <x:c r="C5" s="13" t="inlineStr">
        <x:is>
          <x:t xml:space="preserve">HelioRx Distribution</x:t>
        </x:is>
      </x:c>
      <x:c r="D5" s="13" t="inlineStr">
        <x:is>
          <x:t xml:space="preserve">Northstar Health Systems</x:t>
        </x:is>
      </x:c>
      <x:c r="E5" s="16" t="n">
        <x:f>SUMIF('Line Items'!$A$5:$A$24,A5,'Line Items'!$L$5:$L$24)</x:f>
        <x:v>486720</x:v>
      </x:c>
      <x:c r="F5" s="16" t="n">
        <x:f>SUMIF('Line Items'!$A$5:$A$24,A5,'Line Items'!$M$5:$M$24)</x:f>
        <x:v>399110.4</x:v>
      </x:c>
      <x:c r="G5" s="16" t="n">
        <x:f>E5-F5</x:f>
        <x:v>87609.59999999998</x:v>
      </x:c>
      <x:c r="H5" s="17" t="n">
        <x:f>IF(E5=0,0,G5/E5)</x:f>
        <x:v>0.17999999999999997</x:v>
      </x:c>
      <x:c r="I5" s="16" t="n">
        <x:f>F5-SUMPRODUCT(('Line Items'!$A$5:$A$24=A5)*'Line Items'!$E$5:$E$24*'Line Items'!$K$5:$K$24)</x:f>
        <x:v>246110.40000000002</x:v>
      </x:c>
      <x:c r="J5" s="17" t="n">
        <x:f>IF(F5=0,0,I5/F5)</x:f>
        <x:v>0.6166474238706884</x:v>
      </x:c>
      <x:c r="K5" s="13" t="inlineStr">
        <x:is>
          <x:t xml:space="preserve">High</x:t>
        </x:is>
      </x:c>
      <x:c r="L5" s="20" t="inlineStr">
        <x:is>
          <x:t xml:space="preserve">Competitor price pressure</x:t>
        </x:is>
      </x:c>
      <x:c r="M5" t="n">
        <x:v>5</x:v>
      </x:c>
      <x:c r="N5" s="20" t="inlineStr">
        <x:is>
          <x:t xml:space="preserve">Sales Manager → Pricing Governance Owner → Market Access Director → Finance Director → General Manager</x:t>
        </x:is>
      </x:c>
      <x:c r="O5" s="20" t="inlineStr">
        <x:is>
          <x:t xml:space="preserve">Escalate to General Manager</x:t>
        </x:is>
      </x:c>
      <x:c r="P5" t="inlineStr">
        <x:is>
          <x:t xml:space="preserve">Submitted</x:t>
        </x:is>
      </x:c>
      <x:c r="Q5" t="inlineStr">
        <x:is>
          <x:t xml:space="preserve">Yes</x:t>
        </x:is>
      </x:c>
    </x:row>
    <x:row r="6">
      <x:c r="A6" s="13" t="inlineStr">
        <x:is>
          <x:t xml:space="preserve">DEAL-4002</x:t>
        </x:is>
      </x:c>
      <x:c r="B6" s="13" t="inlineStr">
        <x:is>
          <x:t xml:space="preserve">Retail Chain Conversion Program</x:t>
        </x:is>
      </x:c>
      <x:c r="C6" s="13" t="inlineStr">
        <x:is>
          <x:t xml:space="preserve">Meridian Specialty Pharmacy</x:t>
        </x:is>
      </x:c>
      <x:c r="D6" s="13" t="inlineStr">
        <x:is>
          <x:t xml:space="preserve">Meridian Specialty Pharmacy</x:t>
        </x:is>
      </x:c>
      <x:c r="E6" s="16" t="n">
        <x:f>SUMIF('Line Items'!$A$5:$A$24,A6,'Line Items'!$L$5:$L$24)</x:f>
        <x:v>628187.5</x:v>
      </x:c>
      <x:c r="F6" s="16" t="n">
        <x:f>SUMIF('Line Items'!$A$5:$A$24,A6,'Line Items'!$M$5:$M$24)</x:f>
        <x:v>552805</x:v>
      </x:c>
      <x:c r="G6" s="16" t="n">
        <x:f>E6-F6</x:f>
        <x:v>75382.5</x:v>
      </x:c>
      <x:c r="H6" s="17" t="n">
        <x:f>IF(E6=0,0,G6/E6)</x:f>
        <x:v>0.12</x:v>
      </x:c>
      <x:c r="I6" s="16" t="n">
        <x:f>F6-SUMPRODUCT(('Line Items'!$A$5:$A$24=A6)*'Line Items'!$E$5:$E$24*'Line Items'!$K$5:$K$24)</x:f>
        <x:v>321330</x:v>
      </x:c>
      <x:c r="J6" s="17" t="n">
        <x:f>IF(F6=0,0,I6/F6)</x:f>
        <x:v>0.5812718770633406</x:v>
      </x:c>
      <x:c r="K6" s="13" t="inlineStr">
        <x:is>
          <x:t xml:space="preserve">Medium</x:t>
        </x:is>
      </x:c>
      <x:c r="L6" s="20" t="inlineStr">
        <x:is>
          <x:t xml:space="preserve">New account acquisition</x:t>
        </x:is>
      </x:c>
      <x:c r="M6" t="n">
        <x:v>1</x:v>
      </x:c>
      <x:c r="N6" s="20" t="inlineStr">
        <x:is>
          <x:t xml:space="preserve">Sales Manager → Pricing Governance Owner → Market Access Director → Finance Director → Supply Chain Manager</x:t>
        </x:is>
      </x:c>
      <x:c r="O6" s="20" t="inlineStr">
        <x:is>
          <x:t xml:space="preserve">Request Revision</x:t>
        </x:is>
      </x:c>
      <x:c r="P6" t="inlineStr">
        <x:is>
          <x:t xml:space="preserve">Submitted</x:t>
        </x:is>
      </x:c>
      <x:c r="Q6" t="inlineStr">
        <x:is>
          <x:t xml:space="preserve">Yes</x:t>
        </x:is>
      </x:c>
    </x:row>
    <x:row r="7">
      <x:c r="A7" s="13" t="inlineStr">
        <x:is>
          <x:t xml:space="preserve">DEAL-4003</x:t>
        </x:is>
      </x:c>
      <x:c r="B7" s="13" t="inlineStr">
        <x:is>
          <x:t xml:space="preserve">National Buying Group Renewal</x:t>
        </x:is>
      </x:c>
      <x:c r="C7" s="13" t="inlineStr">
        <x:is>
          <x:t xml:space="preserve">Apex National GPO</x:t>
        </x:is>
      </x:c>
      <x:c r="D7" s="13" t="inlineStr">
        <x:is>
          <x:t xml:space="preserve">Apex National GPO</x:t>
        </x:is>
      </x:c>
      <x:c r="E7" s="16" t="n">
        <x:f>SUMIF('Line Items'!$A$5:$A$24,A7,'Line Items'!$L$5:$L$24)</x:f>
        <x:v>6734160</x:v>
      </x:c>
      <x:c r="F7" s="16" t="n">
        <x:f>SUMIF('Line Items'!$A$5:$A$24,A7,'Line Items'!$M$5:$M$24)</x:f>
        <x:v>5252584.8</x:v>
      </x:c>
      <x:c r="G7" s="16" t="n">
        <x:f>E7-F7</x:f>
        <x:v>1481575.2000000002</x:v>
      </x:c>
      <x:c r="H7" s="17" t="n">
        <x:f>IF(E7=0,0,G7/E7)</x:f>
        <x:v>0.22000890979721305</x:v>
      </x:c>
      <x:c r="I7" s="16" t="n">
        <x:f>F7-SUMPRODUCT(('Line Items'!$A$5:$A$24=A7)*'Line Items'!$E$5:$E$24*'Line Items'!$K$5:$K$24)</x:f>
        <x:v>2793784.8</x:v>
      </x:c>
      <x:c r="J7" s="17" t="n">
        <x:f>IF(F7=0,0,I7/F7)</x:f>
        <x:v>0.5318876146464118</x:v>
      </x:c>
      <x:c r="K7" s="13" t="inlineStr">
        <x:is>
          <x:t xml:space="preserve">High</x:t>
        </x:is>
      </x:c>
      <x:c r="L7" s="20" t="inlineStr">
        <x:is>
          <x:t xml:space="preserve">Incumbent defense</x:t>
        </x:is>
      </x:c>
      <x:c r="M7" t="n">
        <x:v>5</x:v>
      </x:c>
      <x:c r="N7" s="20" t="inlineStr">
        <x:is>
          <x:t xml:space="preserve">Sales Manager → Pricing Governance Owner → Market Access Director → Finance Director → Supply Chain Manager → General Manager</x:t>
        </x:is>
      </x:c>
      <x:c r="O7" s="20" t="inlineStr">
        <x:is>
          <x:t xml:space="preserve">Escalate to General Manager</x:t>
        </x:is>
      </x:c>
      <x:c r="P7" t="inlineStr">
        <x:is>
          <x:t xml:space="preserve">Submitted</x:t>
        </x:is>
      </x:c>
      <x:c r="Q7" t="inlineStr">
        <x:is>
          <x:t xml:space="preserve">Yes</x:t>
        </x:is>
      </x:c>
    </x:row>
    <x:row r="8">
      <x:c r="A8" s="13" t="inlineStr">
        <x:is>
          <x:t xml:space="preserve">DEAL-4004</x:t>
        </x:is>
      </x:c>
      <x:c r="B8" s="13" t="inlineStr">
        <x:is>
          <x:t xml:space="preserve">Region B Launch Stocking Offer</x:t>
        </x:is>
      </x:c>
      <x:c r="C8" s="13" t="inlineStr">
        <x:is>
          <x:t xml:space="preserve">HelioRx Distribution</x:t>
        </x:is>
      </x:c>
      <x:c r="D8" s="13" t="inlineStr">
        <x:is>
          <x:t xml:space="preserve">Orion Hospital Trust</x:t>
        </x:is>
      </x:c>
      <x:c r="E8" s="16" t="n">
        <x:f>SUMIF('Line Items'!$A$5:$A$24,A8,'Line Items'!$L$5:$L$24)</x:f>
        <x:v>874000</x:v>
      </x:c>
      <x:c r="F8" s="16" t="n">
        <x:f>SUMIF('Line Items'!$A$5:$A$24,A8,'Line Items'!$M$5:$M$24)</x:f>
        <x:v>576840</x:v>
      </x:c>
      <x:c r="G8" s="16" t="n">
        <x:f>E8-F8</x:f>
        <x:v>297160</x:v>
      </x:c>
      <x:c r="H8" s="17" t="n">
        <x:f>IF(E8=0,0,G8/E8)</x:f>
        <x:v>0.34</x:v>
      </x:c>
      <x:c r="I8" s="16" t="n">
        <x:f>F8-SUMPRODUCT(('Line Items'!$A$5:$A$24=A8)*'Line Items'!$E$5:$E$24*'Line Items'!$K$5:$K$24)</x:f>
        <x:v>346840</x:v>
      </x:c>
      <x:c r="J8" s="17" t="n">
        <x:f>IF(F8=0,0,I8/F8)</x:f>
        <x:v>0.6012759170653907</x:v>
      </x:c>
      <x:c r="K8" s="13" t="inlineStr">
        <x:is>
          <x:t xml:space="preserve">Medium</x:t>
        </x:is>
      </x:c>
      <x:c r="L8" s="20" t="inlineStr">
        <x:is>
          <x:t xml:space="preserve">New account acquisition</x:t>
        </x:is>
      </x:c>
      <x:c r="M8" t="n">
        <x:v>1</x:v>
      </x:c>
      <x:c r="N8" s="20" t="inlineStr">
        <x:is>
          <x:t xml:space="preserve">Sales Manager → Pricing Governance Owner → Market Access Director → Finance Director → General Manager</x:t>
        </x:is>
      </x:c>
      <x:c r="O8" s="20" t="inlineStr">
        <x:is>
          <x:t xml:space="preserve">Reject - Below Margin Floor</x:t>
        </x:is>
      </x:c>
      <x:c r="P8" t="inlineStr">
        <x:is>
          <x:t xml:space="preserve">Submitted</x:t>
        </x:is>
      </x:c>
      <x:c r="Q8" t="inlineStr">
        <x:is>
          <x:t xml:space="preserve">No</x:t>
        </x:is>
      </x:c>
    </x:row>
    <x:row r="9">
      <x:c r="A9" s="13" t="inlineStr">
        <x:is>
          <x:t xml:space="preserve">DEAL-4005</x:t>
        </x:is>
      </x:c>
      <x:c r="B9" s="13" t="inlineStr">
        <x:is>
          <x:t xml:space="preserve">Institution Pilot Access Package</x:t>
        </x:is>
      </x:c>
      <x:c r="C9" s="13" t="inlineStr">
        <x:is>
          <x:t xml:space="preserve">Summit Oncology Clinics</x:t>
        </x:is>
      </x:c>
      <x:c r="D9" s="13" t="inlineStr">
        <x:is>
          <x:t xml:space="preserve">Summit Oncology Clinics</x:t>
        </x:is>
      </x:c>
      <x:c r="E9" s="16" t="n">
        <x:f>SUMIF('Line Items'!$A$5:$A$24,A9,'Line Items'!$L$5:$L$24)</x:f>
        <x:v>273980</x:v>
      </x:c>
      <x:c r="F9" s="16" t="n">
        <x:f>SUMIF('Line Items'!$A$5:$A$24,A9,'Line Items'!$M$5:$M$24)</x:f>
        <x:v>260281.4</x:v>
      </x:c>
      <x:c r="G9" s="16" t="n">
        <x:f>E9-F9</x:f>
        <x:v>13698.600000000006</x:v>
      </x:c>
      <x:c r="H9" s="17" t="n">
        <x:f>IF(E9=0,0,G9/E9)</x:f>
        <x:v>0.049998540039418955</x:v>
      </x:c>
      <x:c r="I9" s="16" t="n">
        <x:f>F9-SUMPRODUCT(('Line Items'!$A$5:$A$24=A9)*'Line Items'!$E$5:$E$24*'Line Items'!$K$5:$K$24)</x:f>
        <x:v>159301.4</x:v>
      </x:c>
      <x:c r="J9" s="17" t="n">
        <x:f>IF(F9=0,0,I9/F9)</x:f>
        <x:v>0.6120352818142211</x:v>
      </x:c>
      <x:c r="K9" s="13" t="inlineStr">
        <x:is>
          <x:t xml:space="preserve">Low</x:t>
        </x:is>
      </x:c>
      <x:c r="L9" s="20" t="inlineStr">
        <x:is>
          <x:t xml:space="preserve">New account acquisition</x:t>
        </x:is>
      </x:c>
      <x:c r="M9" t="n">
        <x:v>0</x:v>
      </x:c>
      <x:c r="N9" s="20" t="inlineStr">
        <x:is>
          <x:t xml:space="preserve">Sales Manager</x:t>
        </x:is>
      </x:c>
      <x:c r="O9" s="20" t="inlineStr">
        <x:is>
          <x:t xml:space="preserve">Approve</x:t>
        </x:is>
      </x:c>
      <x:c r="P9" t="inlineStr">
        <x:is>
          <x:t xml:space="preserve">Submitted</x:t>
        </x:is>
      </x:c>
      <x:c r="Q9" t="inlineStr">
        <x:is>
          <x:t xml:space="preserve">Yes</x:t>
        </x:is>
      </x:c>
    </x:row>
    <x:row r="10">
      <x:c r="A10" s="13" t="inlineStr">
        <x:is>
          <x:t xml:space="preserve">DEAL-4006</x:t>
        </x:is>
      </x:c>
      <x:c r="B10" s="13" t="inlineStr">
        <x:is>
          <x:t xml:space="preserve">Corporate Access Renewal Defense</x:t>
        </x:is>
      </x:c>
      <x:c r="C10" s="13" t="inlineStr">
        <x:is>
          <x:t xml:space="preserve">Cityline Payer Alliance</x:t>
        </x:is>
      </x:c>
      <x:c r="D10" s="13" t="inlineStr">
        <x:is>
          <x:t xml:space="preserve">Cityline Payer Alliance</x:t>
        </x:is>
      </x:c>
      <x:c r="E10" s="16" t="n">
        <x:f>SUMIF('Line Items'!$A$5:$A$24,A10,'Line Items'!$L$5:$L$24)</x:f>
        <x:v>9802320</x:v>
      </x:c>
      <x:c r="F10" s="16" t="n">
        <x:f>SUMIF('Line Items'!$A$5:$A$24,A10,'Line Items'!$M$5:$M$24)</x:f>
        <x:v>6861624</x:v>
      </x:c>
      <x:c r="G10" s="16" t="n">
        <x:f>E10-F10</x:f>
        <x:v>2940696</x:v>
      </x:c>
      <x:c r="H10" s="17" t="n">
        <x:f>IF(E10=0,0,G10/E10)</x:f>
        <x:v>0.3</x:v>
      </x:c>
      <x:c r="I10" s="16" t="n">
        <x:f>F10-SUMPRODUCT(('Line Items'!$A$5:$A$24=A10)*'Line Items'!$E$5:$E$24*'Line Items'!$K$5:$K$24)</x:f>
        <x:v>3211824</x:v>
      </x:c>
      <x:c r="J10" s="17" t="n">
        <x:f>IF(F10=0,0,I10/F10)</x:f>
        <x:v>0.46808510638297873</x:v>
      </x:c>
      <x:c r="K10" s="13" t="inlineStr">
        <x:is>
          <x:t xml:space="preserve">High</x:t>
        </x:is>
      </x:c>
      <x:c r="L10" s="20" t="inlineStr">
        <x:is>
          <x:t xml:space="preserve">Incumbent defense</x:t>
        </x:is>
      </x:c>
      <x:c r="M10" t="n">
        <x:v>3</x:v>
      </x:c>
      <x:c r="N10" s="20" t="inlineStr">
        <x:is>
          <x:t xml:space="preserve">Sales Manager → Pricing Governance Owner → Market Access Director → Finance Director → Supply Chain Manager → General Manager</x:t>
        </x:is>
      </x:c>
      <x:c r="O10" s="20" t="inlineStr">
        <x:is>
          <x:t xml:space="preserve">Reject - Below Margin Floor</x:t>
        </x:is>
      </x:c>
      <x:c r="P10" t="inlineStr">
        <x:is>
          <x:t xml:space="preserve">Submitted</x:t>
        </x:is>
      </x:c>
      <x:c r="Q10" t="inlineStr">
        <x:is>
          <x:t xml:space="preserve">Yes</x:t>
        </x:is>
      </x:c>
    </x:row>
    <x:row r="11">
      <x:c r="A11" s="13" t="inlineStr">
        <x:is>
          <x:t xml:space="preserve">DEAL-4007</x:t>
        </x:is>
      </x:c>
      <x:c r="B11" s="13" t="inlineStr">
        <x:is>
          <x:t xml:space="preserve">Region C Public Tender Bid</x:t>
        </x:is>
      </x:c>
      <x:c r="C11" s="13" t="inlineStr">
        <x:is>
          <x:t xml:space="preserve">Crescent Public Tender Authority</x:t>
        </x:is>
      </x:c>
      <x:c r="D11" s="13" t="inlineStr">
        <x:is>
          <x:t xml:space="preserve">Crescent Public Tender Authority</x:t>
        </x:is>
      </x:c>
      <x:c r="E11" s="16" t="n">
        <x:f>SUMIF('Line Items'!$A$5:$A$24,A11,'Line Items'!$L$5:$L$24)</x:f>
        <x:v>2554560</x:v>
      </x:c>
      <x:c r="F11" s="16" t="n">
        <x:f>SUMIF('Line Items'!$A$5:$A$24,A11,'Line Items'!$M$5:$M$24)</x:f>
        <x:v>1839288</x:v>
      </x:c>
      <x:c r="G11" s="16" t="n">
        <x:f>E11-F11</x:f>
        <x:v>715272</x:v>
      </x:c>
      <x:c r="H11" s="17" t="n">
        <x:f>IF(E11=0,0,G11/E11)</x:f>
        <x:v>0.27999812100714017</x:v>
      </x:c>
      <x:c r="I11" s="16" t="n">
        <x:f>F11-SUMPRODUCT(('Line Items'!$A$5:$A$24=A11)*'Line Items'!$E$5:$E$24*'Line Items'!$K$5:$K$24)</x:f>
        <x:v>951888</x:v>
      </x:c>
      <x:c r="J11" s="17" t="n">
        <x:f>IF(F11=0,0,I11/F11)</x:f>
        <x:v>0.5175306966608818</x:v>
      </x:c>
      <x:c r="K11" s="13" t="inlineStr">
        <x:is>
          <x:t xml:space="preserve">Critical</x:t>
        </x:is>
      </x:c>
      <x:c r="L11" s="20" t="inlineStr">
        <x:is>
          <x:t xml:space="preserve">Public tender</x:t>
        </x:is>
      </x:c>
      <x:c r="M11" t="n">
        <x:v>7</x:v>
      </x:c>
      <x:c r="N11" s="20" t="inlineStr">
        <x:is>
          <x:t xml:space="preserve">Sales Manager → Pricing Governance Owner → Market Access Director → Finance Director → Supply Chain Manager → General Manager</x:t>
        </x:is>
      </x:c>
      <x:c r="O11" s="20" t="inlineStr">
        <x:is>
          <x:t xml:space="preserve">Reject - Below Margin Floor</x:t>
        </x:is>
      </x:c>
      <x:c r="P11" t="inlineStr">
        <x:is>
          <x:t xml:space="preserve">Submitted</x:t>
        </x:is>
      </x:c>
      <x:c r="Q11" t="inlineStr">
        <x:is>
          <x:t xml:space="preserve">Yes</x:t>
        </x:is>
      </x:c>
    </x:row>
    <x:row r="12">
      <x:c r="A12" s="13" t="inlineStr">
        <x:is>
          <x:t xml:space="preserve">DEAL-4008</x:t>
        </x:is>
      </x:c>
      <x:c r="B12" s="13" t="inlineStr">
        <x:is>
          <x:t xml:space="preserve">Institution Diagnostic Framework Launch</x:t>
        </x:is>
      </x:c>
      <x:c r="C12" s="13" t="inlineStr">
        <x:is>
          <x:t xml:space="preserve">Sterling Specialty Distribution</x:t>
        </x:is>
      </x:c>
      <x:c r="D12" s="13" t="inlineStr">
        <x:is>
          <x:t xml:space="preserve">Atlas Hospital Network</x:t>
        </x:is>
      </x:c>
      <x:c r="E12" s="16" t="n">
        <x:f>SUMIF('Line Items'!$A$5:$A$24,A12,'Line Items'!$L$5:$L$24)</x:f>
        <x:v>935680</x:v>
      </x:c>
      <x:c r="F12" s="16" t="n">
        <x:f>SUMIF('Line Items'!$A$5:$A$24,A12,'Line Items'!$M$5:$M$24)</x:f>
        <x:v>785971.2</x:v>
      </x:c>
      <x:c r="G12" s="16" t="n">
        <x:f>E12-F12</x:f>
        <x:v>149708.80000000005</x:v>
      </x:c>
      <x:c r="H12" s="17" t="n">
        <x:f>IF(E12=0,0,G12/E12)</x:f>
        <x:v>0.16000000000000006</x:v>
      </x:c>
      <x:c r="I12" s="16" t="n">
        <x:f>F12-SUMPRODUCT(('Line Items'!$A$5:$A$24=A12)*'Line Items'!$E$5:$E$24*'Line Items'!$K$5:$K$24)</x:f>
        <x:v>476571.19999999995</x:v>
      </x:c>
      <x:c r="J12" s="17" t="n">
        <x:f>IF(F12=0,0,I12/F12)</x:f>
        <x:v>0.6063468992248062</x:v>
      </x:c>
      <x:c r="K12" s="13" t="inlineStr">
        <x:is>
          <x:t xml:space="preserve">Medium</x:t>
        </x:is>
      </x:c>
      <x:c r="L12" s="20" t="inlineStr">
        <x:is>
          <x:t xml:space="preserve">New account acquisition</x:t>
        </x:is>
      </x:c>
      <x:c r="M12" t="n">
        <x:v>0</x:v>
      </x:c>
      <x:c r="N12" s="20" t="inlineStr">
        <x:is>
          <x:t xml:space="preserve">Sales Manager → Pricing Governance Owner → Market Access Director → Finance Director → General Manager</x:t>
        </x:is>
      </x:c>
      <x:c r="O12" s="20" t="inlineStr">
        <x:is>
          <x:t xml:space="preserve">Request Revision</x:t>
        </x:is>
      </x:c>
      <x:c r="P12" t="inlineStr">
        <x:is>
          <x:t xml:space="preserve">Submitted</x:t>
        </x:is>
      </x:c>
      <x:c r="Q12" t="inlineStr">
        <x:is>
          <x:t xml:space="preserve">No</x:t>
        </x:is>
      </x:c>
    </x:row>
    <x:row r="13">
      <x:c r="A13" s="13" t="inlineStr">
        <x:is>
          <x:t xml:space="preserve">DEAL-4009</x:t>
        </x:is>
      </x:c>
      <x:c r="B13" s="13" t="inlineStr">
        <x:is>
          <x:t xml:space="preserve">Corporate Immunology Competitive Defense</x:t>
        </x:is>
      </x:c>
      <x:c r="C13" s="13" t="inlineStr">
        <x:is>
          <x:t xml:space="preserve">BluePeak Payer Coalition</x:t>
        </x:is>
      </x:c>
      <x:c r="D13" s="13" t="inlineStr">
        <x:is>
          <x:t xml:space="preserve">BluePeak Payer Coalition</x:t>
        </x:is>
      </x:c>
      <x:c r="E13" s="16" t="n">
        <x:f>SUMIF('Line Items'!$A$5:$A$24,A13,'Line Items'!$L$5:$L$24)</x:f>
        <x:v>1576050</x:v>
      </x:c>
      <x:c r="F13" s="16" t="n">
        <x:f>SUMIF('Line Items'!$A$5:$A$24,A13,'Line Items'!$M$5:$M$24)</x:f>
        <x:v>1197798</x:v>
      </x:c>
      <x:c r="G13" s="16" t="n">
        <x:f>E13-F13</x:f>
        <x:v>378252</x:v>
      </x:c>
      <x:c r="H13" s="17" t="n">
        <x:f>IF(E13=0,0,G13/E13)</x:f>
        <x:v>0.24</x:v>
      </x:c>
      <x:c r="I13" s="16" t="n">
        <x:f>F13-SUMPRODUCT(('Line Items'!$A$5:$A$24=A13)*'Line Items'!$E$5:$E$24*'Line Items'!$K$5:$K$24)</x:f>
        <x:v>617148</x:v>
      </x:c>
      <x:c r="J13" s="17" t="n">
        <x:f>IF(F13=0,0,I13/F13)</x:f>
        <x:v>0.5152354570637119</x:v>
      </x:c>
      <x:c r="K13" s="13" t="inlineStr">
        <x:is>
          <x:t xml:space="preserve">High</x:t>
        </x:is>
      </x:c>
      <x:c r="L13" s="20" t="inlineStr">
        <x:is>
          <x:t xml:space="preserve">Competitor price pressure</x:t>
        </x:is>
      </x:c>
      <x:c r="M13" t="n">
        <x:v>5</x:v>
      </x:c>
      <x:c r="N13" s="20" t="inlineStr">
        <x:is>
          <x:t xml:space="preserve">Sales Manager → Pricing Governance Owner → Market Access Director → Finance Director → Supply Chain Manager → General Manager</x:t>
        </x:is>
      </x:c>
      <x:c r="O13" s="20" t="inlineStr">
        <x:is>
          <x:t xml:space="preserve">Escalate to General Manager</x:t>
        </x:is>
      </x:c>
      <x:c r="P13" t="inlineStr">
        <x:is>
          <x:t xml:space="preserve">Submitted</x:t>
        </x:is>
      </x:c>
      <x:c r="Q13" t="inlineStr">
        <x:is>
          <x:t xml:space="preserve">Yes</x:t>
        </x:is>
      </x:c>
    </x:row>
    <x:row r="14">
      <x:c r="A14" s="13" t="inlineStr">
        <x:is>
          <x:t xml:space="preserve">DEAL-4010</x:t>
        </x:is>
      </x:c>
      <x:c r="B14" s="13" t="inlineStr">
        <x:is>
          <x:t xml:space="preserve">Institution Inventory Mitigation Offer</x:t>
        </x:is>
      </x:c>
      <x:c r="C14" s="13" t="inlineStr">
        <x:is>
          <x:t xml:space="preserve">Metro Infusion Partners</x:t>
        </x:is>
      </x:c>
      <x:c r="D14" s="13" t="inlineStr">
        <x:is>
          <x:t xml:space="preserve">Metro Infusion Partners</x:t>
        </x:is>
      </x:c>
      <x:c r="E14" s="16" t="n">
        <x:f>SUMIF('Line Items'!$A$5:$A$24,A14,'Line Items'!$L$5:$L$24)</x:f>
        <x:v>788880</x:v>
      </x:c>
      <x:c r="F14" s="16" t="n">
        <x:f>SUMIF('Line Items'!$A$5:$A$24,A14,'Line Items'!$M$5:$M$24)</x:f>
        <x:v>504883.19999999995</x:v>
      </x:c>
      <x:c r="G14" s="16" t="n">
        <x:f>E14-F14</x:f>
        <x:v>283996.80000000005</x:v>
      </x:c>
      <x:c r="H14" s="17" t="n">
        <x:f>IF(E14=0,0,G14/E14)</x:f>
        <x:v>0.36000000000000004</x:v>
      </x:c>
      <x:c r="I14" s="16" t="n">
        <x:f>F14-SUMPRODUCT(('Line Items'!$A$5:$A$24=A14)*'Line Items'!$E$5:$E$24*'Line Items'!$K$5:$K$24)</x:f>
        <x:v>297283.19999999995</x:v>
      </x:c>
      <x:c r="J14" s="17" t="n">
        <x:f>IF(F14=0,0,I14/F14)</x:f>
        <x:v>0.5888157894736842</x:v>
      </x:c>
      <x:c r="K14" s="13" t="inlineStr">
        <x:is>
          <x:t xml:space="preserve">High</x:t>
        </x:is>
      </x:c>
      <x:c r="L14" s="20" t="inlineStr">
        <x:is>
          <x:t xml:space="preserve">Inventory / expiry mitigation</x:t>
        </x:is>
      </x:c>
      <x:c r="M14" t="n">
        <x:v>0</x:v>
      </x:c>
      <x:c r="N14" s="20" t="inlineStr">
        <x:is>
          <x:t xml:space="preserve">Sales Manager → Pricing Governance Owner → Market Access Director → Finance Director → General Manager</x:t>
        </x:is>
      </x:c>
      <x:c r="O14" s="20" t="inlineStr">
        <x:is>
          <x:t xml:space="preserve">Reject - Below Margin Floor</x:t>
        </x:is>
      </x:c>
      <x:c r="P14" t="inlineStr">
        <x:is>
          <x:t xml:space="preserve">Submitted</x:t>
        </x:is>
      </x:c>
      <x:c r="Q14" t="inlineStr">
        <x:is>
          <x:t xml:space="preserve">No</x:t>
        </x:is>
      </x:c>
    </x:row>
  </x:sheetData>
  <x:mergeCells>
    <x:mergeCell ref="A1:Q1"/>
    <x:mergeCell ref="A2:Q2"/>
  </x:mergeCells>
  <x:pageMargins left="0.7" right="0.7" top="0.75" bottom="0.75" header="0.3" footer="0.3"/>
  <x:tableParts count="1">
    <x:tablePart xmlns:r="http://schemas.openxmlformats.org/officeDocument/2006/relationships" r:id="R1256b2cce467455e"/>
  </x:tableParts>
</x:worksheet>
</file>