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eal Requests" sheetId="1" state="visible" r:id="rId1"/>
    <sheet name="Line Items" sheetId="2" state="visible" r:id="rId2"/>
    <sheet name="Deal Summary" sheetId="3" state="visible" r:id="rId3"/>
  </sheets>
  <definedNames>
    <definedName name="_xlnm._FilterDatabase" localSheetId="1" hidden="1">'Line Items'!$A$4:$O$24</definedName>
    <definedName name="_xlnm._FilterDatabase" localSheetId="2" hidden="1">'Deal Summary'!$A$4:$Q$14</definedName>
  </definedNames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yyyy-mm-dd"/>
  </numFmts>
  <fonts count="5">
    <font>
      <name val="Carlito"/>
      <sz val="11"/>
    </font>
    <font>
      <name val="Carlito"/>
      <b val="1"/>
      <color rgb="FFFFFFFF"/>
      <sz val="14"/>
    </font>
    <font>
      <name val="Carlito"/>
      <i val="1"/>
      <sz val="11"/>
    </font>
    <font>
      <name val="Carlito"/>
      <b val="1"/>
      <color rgb="FF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3F6F8"/>
      </patternFill>
    </fill>
    <fill>
      <patternFill patternType="solid">
        <fgColor rgb="FF0F766E"/>
      </patternFill>
    </fill>
    <fill>
      <patternFill patternType="solid">
        <fgColor rgb="001F4E78"/>
      </patternFill>
    </fill>
  </fills>
  <borders count="3">
    <border/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166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ampleDeals" displayName="SampleDeals" ref="A4:R14" headerRowCount="1">
  <tableColumns count="18">
    <tableColumn id="1" name="Deal ID"/>
    <tableColumn id="2" name="Deal Title"/>
    <tableColumn id="3" name="Customer ID"/>
    <tableColumn id="4" name="Customer Name"/>
    <tableColumn id="5" name="Opportunity ID"/>
    <tableColumn id="6" name="Deal Type"/>
    <tableColumn id="7" name="Region"/>
    <tableColumn id="8" name="Segment"/>
    <tableColumn id="9" name="Sales Owner"/>
    <tableColumn id="10" name="Sales Manager"/>
    <tableColumn id="11" name="Status"/>
    <tableColumn id="12" name="Target Close Date"/>
    <tableColumn id="13" name="Payment Terms"/>
    <tableColumn id="14" name="Contract Months"/>
    <tableColumn id="15" name="Strategic Rationale"/>
    <tableColumn id="16" name="Intake Risk"/>
    <tableColumn id="17" name="Channel"/>
    <tableColumn id="18" name="Included_In_Latest_Financial_Plan"/>
  </tableColumns>
  <tableStyleInfo name="TableStyleMedium2" showRowStripes="1"/>
</table>
</file>

<file path=xl/tables/table2.xml><?xml version="1.0" encoding="utf-8"?>
<table xmlns="http://schemas.openxmlformats.org/spreadsheetml/2006/main" id="2" name="SampleLineItems" displayName="SampleLineItems" ref="A4:Q24" headerRowCount="1">
  <tableColumns count="17">
    <tableColumn id="1" name="Deal ID"/>
    <tableColumn id="2" name="Line #"/>
    <tableColumn id="3" name="SKU"/>
    <tableColumn id="4" name="Product Name"/>
    <tableColumn id="5" name="Therapeutic Area"/>
    <tableColumn id="6" name="Quantity"/>
    <tableColumn id="7" name="Unit List Price"/>
    <tableColumn id="8" name="Unit Cost"/>
    <tableColumn id="9" name="Proposed Unit Price"/>
    <tableColumn id="10" name="Extended List"/>
    <tableColumn id="11" name="Extended Proposed"/>
    <tableColumn id="12" name="Discount %"/>
    <tableColumn id="13" name="Requested Delivery Date"/>
    <tableColumn id="14" name="Storage"/>
    <tableColumn id="15" name="Supply Risk"/>
    <tableColumn id="16" name="Line Type"/>
    <tableColumn id="17" name="Notes"/>
  </tableColumns>
  <tableStyleInfo name="TableStyleMedium2" showRowStripes="1"/>
</table>
</file>

<file path=xl/tables/table3.xml><?xml version="1.0" encoding="utf-8"?>
<table xmlns="http://schemas.openxmlformats.org/spreadsheetml/2006/main" id="3" name="DealSummary" displayName="DealSummary" ref="A4:K14" headerRowCount="1">
  <tableColumns count="11">
    <tableColumn id="1" name="Deal ID"/>
    <tableColumn id="2" name="Deal Title"/>
    <tableColumn id="3" name="Customer"/>
    <tableColumn id="4" name="Total List"/>
    <tableColumn id="5" name="Total Proposed"/>
    <tableColumn id="6" name="Discount Amount"/>
    <tableColumn id="7" name="Discount %"/>
    <tableColumn id="8" name="Intake Risk"/>
    <tableColumn id="9" name="Expected Route"/>
    <tableColumn id="10" name="Status"/>
    <tableColumn id="11" name="Included_In_Latest_Financial_Pla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selection activeCell="A1" sqref="A1"/>
    </sheetView>
  </sheetViews>
  <sheetFormatPr baseColWidth="8" defaultRowHeight="15" outlineLevelCol="0"/>
  <cols>
    <col width="12.25" customWidth="1" min="1" max="1"/>
    <col width="15.63000011444092" customWidth="1" min="2" max="2"/>
    <col width="16.75" customWidth="1" min="3" max="3"/>
    <col width="19" customWidth="1" min="4" max="4"/>
    <col width="20.1299991607666" customWidth="1" min="5" max="5"/>
    <col width="14.5" customWidth="1" min="6" max="6"/>
    <col width="11.25" customWidth="1" min="7" max="7"/>
    <col width="12.25" customWidth="1" min="8" max="8"/>
    <col width="16.75" customWidth="1" min="9" max="9"/>
    <col width="19" customWidth="1" min="10" max="10"/>
    <col width="11.25" customWidth="1" min="11" max="11"/>
    <col width="23.5" customWidth="1" min="12" max="12"/>
    <col width="19" customWidth="1" min="13" max="13"/>
    <col width="21.25" customWidth="1" min="14" max="14"/>
    <col width="25.75" customWidth="1" min="15" max="15"/>
    <col width="16.75" customWidth="1" min="16" max="16"/>
    <col width="12.25" customWidth="1" min="17" max="17"/>
    <col width="31.25" customWidth="1" min="18" max="18"/>
  </cols>
  <sheetData>
    <row r="1" ht="22.5" customHeight="1">
      <c r="A1" s="3" t="inlineStr">
        <is>
          <t>Sample Deal Requests - Financial Plan Logic</t>
        </is>
      </c>
    </row>
    <row r="2" ht="25.5" customHeight="1">
      <c r="A2" s="6" t="inlineStr">
        <is>
          <t>Ten complete deal requests with Included_In_Latest_Financial_Plan flag.</t>
        </is>
      </c>
    </row>
    <row r="4" ht="24" customHeight="1">
      <c r="A4" s="11" t="inlineStr">
        <is>
          <t>Deal ID</t>
        </is>
      </c>
      <c r="B4" s="11" t="inlineStr">
        <is>
          <t>Deal Title</t>
        </is>
      </c>
      <c r="C4" s="11" t="inlineStr">
        <is>
          <t>Sold-To Customer ID</t>
        </is>
      </c>
      <c r="D4" s="11" t="inlineStr">
        <is>
          <t>Sold-To Customer Name</t>
        </is>
      </c>
      <c r="E4" s="11" t="inlineStr">
        <is>
          <t>End Account ID</t>
        </is>
      </c>
      <c r="F4" s="11" t="inlineStr">
        <is>
          <t>End Account Name</t>
        </is>
      </c>
      <c r="G4" s="11" t="inlineStr">
        <is>
          <t>Deal Type</t>
        </is>
      </c>
      <c r="H4" s="11" t="inlineStr">
        <is>
          <t>Customer Type</t>
        </is>
      </c>
      <c r="I4" s="11" t="inlineStr">
        <is>
          <t>Region</t>
        </is>
      </c>
      <c r="J4" s="11" t="inlineStr">
        <is>
          <t>Sales Owner</t>
        </is>
      </c>
      <c r="K4" s="11" t="inlineStr">
        <is>
          <t>Sales Manager</t>
        </is>
      </c>
      <c r="L4" s="11" t="inlineStr">
        <is>
          <t>Status</t>
        </is>
      </c>
      <c r="M4" s="11" t="inlineStr">
        <is>
          <t>Expected Award / Decision Date</t>
        </is>
      </c>
      <c r="N4" s="11" t="inlineStr">
        <is>
          <t>Requested Delivery Start</t>
        </is>
      </c>
      <c r="O4" s="11" t="inlineStr">
        <is>
          <t>Requested Delivery End</t>
        </is>
      </c>
      <c r="P4" s="11" t="inlineStr">
        <is>
          <t>Payment Terms</t>
        </is>
      </c>
      <c r="Q4" s="11" t="inlineStr">
        <is>
          <t>Strategic Rationale</t>
        </is>
      </c>
      <c r="R4" s="11" t="inlineStr">
        <is>
          <t>KAM Risk Assessment</t>
        </is>
      </c>
      <c r="S4" t="inlineStr">
        <is>
          <t>Risk Reason</t>
        </is>
      </c>
      <c r="T4" t="inlineStr">
        <is>
          <t>Channel</t>
        </is>
      </c>
      <c r="U4" t="inlineStr">
        <is>
          <t>Included In Latest Financial Plan</t>
        </is>
      </c>
    </row>
    <row r="5">
      <c r="A5" s="13" t="inlineStr">
        <is>
          <t>DEAL-4001</t>
        </is>
      </c>
      <c r="B5" s="13" t="inlineStr">
        <is>
          <t>Region A Infusion Tender Defense</t>
        </is>
      </c>
      <c r="C5" s="13" t="inlineStr">
        <is>
          <t>CUST-1004</t>
        </is>
      </c>
      <c r="D5" s="13" t="inlineStr">
        <is>
          <t>HelioRx Distribution</t>
        </is>
      </c>
      <c r="E5" s="13" t="inlineStr">
        <is>
          <t>CUST-1001</t>
        </is>
      </c>
      <c r="F5" s="13" t="inlineStr">
        <is>
          <t>Northstar Health Systems</t>
        </is>
      </c>
      <c r="G5" s="13" t="inlineStr">
        <is>
          <t>Tender</t>
        </is>
      </c>
      <c r="H5" s="13" t="inlineStr">
        <is>
          <t>Distributor</t>
        </is>
      </c>
      <c r="I5" s="13" t="inlineStr">
        <is>
          <t>Region A</t>
        </is>
      </c>
      <c r="J5" s="13" t="inlineStr">
        <is>
          <t>Maya Chen</t>
        </is>
      </c>
      <c r="K5" s="13" t="inlineStr">
        <is>
          <t>Jordan Blake</t>
        </is>
      </c>
      <c r="L5" s="13" t="inlineStr">
        <is>
          <t>Submitted</t>
        </is>
      </c>
      <c r="M5" s="13" t="inlineStr">
        <is>
          <t>2026-07-31</t>
        </is>
      </c>
      <c r="N5" s="13" t="inlineStr">
        <is>
          <t>2026-08-15</t>
        </is>
      </c>
      <c r="O5" s="13" t="inlineStr">
        <is>
          <t>2026-12-31</t>
        </is>
      </c>
      <c r="P5" s="13" t="inlineStr">
        <is>
          <t>Net 60</t>
        </is>
      </c>
      <c r="Q5" s="13" t="inlineStr">
        <is>
          <t>Tender defense against aggressive competitor pricing; requested discount protects annual volume while staying within product guidance.</t>
        </is>
      </c>
      <c r="R5" s="13" t="inlineStr">
        <is>
          <t>High</t>
        </is>
      </c>
      <c r="S5" t="inlineStr">
        <is>
          <t>Competitor price pressure</t>
        </is>
      </c>
      <c r="T5" t="inlineStr">
        <is>
          <t>Distributor</t>
        </is>
      </c>
      <c r="U5" t="inlineStr">
        <is>
          <t>Yes</t>
        </is>
      </c>
    </row>
    <row r="6">
      <c r="A6" s="13" t="inlineStr">
        <is>
          <t>DEAL-4002</t>
        </is>
      </c>
      <c r="B6" s="13" t="inlineStr">
        <is>
          <t>Retail Chain Conversion Program</t>
        </is>
      </c>
      <c r="C6" s="13" t="inlineStr">
        <is>
          <t>CUST-1002</t>
        </is>
      </c>
      <c r="D6" s="13" t="inlineStr">
        <is>
          <t>Meridian Specialty Pharmacy</t>
        </is>
      </c>
      <c r="E6" s="13" t="inlineStr">
        <is>
          <t>CUST-1002</t>
        </is>
      </c>
      <c r="F6" s="13" t="inlineStr">
        <is>
          <t>Meridian Specialty Pharmacy</t>
        </is>
      </c>
      <c r="G6" s="13" t="inlineStr">
        <is>
          <t>New Account / Launch</t>
        </is>
      </c>
      <c r="H6" s="13" t="inlineStr">
        <is>
          <t>Retail / Pharmacy Chain</t>
        </is>
      </c>
      <c r="I6" s="13" t="inlineStr">
        <is>
          <t>Region A</t>
        </is>
      </c>
      <c r="J6" s="13" t="inlineStr">
        <is>
          <t>Ethan Brooks</t>
        </is>
      </c>
      <c r="K6" s="13" t="inlineStr">
        <is>
          <t>Jordan Blake</t>
        </is>
      </c>
      <c r="L6" s="13" t="inlineStr">
        <is>
          <t>Submitted</t>
        </is>
      </c>
      <c r="M6" s="13" t="inlineStr">
        <is>
          <t>2026-08-15</t>
        </is>
      </c>
      <c r="N6" s="13" t="inlineStr">
        <is>
          <t>2026-08-20</t>
        </is>
      </c>
      <c r="O6" s="13" t="inlineStr">
        <is>
          <t>2026-11-30</t>
        </is>
      </c>
      <c r="P6" s="13" t="inlineStr">
        <is>
          <t>Net 45</t>
        </is>
      </c>
      <c r="Q6" s="13" t="inlineStr">
        <is>
          <t>Strategic launch support for a retail pharmacy chain; short-term discount expected to secure listing and unlock repeat demand.</t>
        </is>
      </c>
      <c r="R6" s="13" t="inlineStr">
        <is>
          <t>Medium</t>
        </is>
      </c>
      <c r="S6" t="inlineStr">
        <is>
          <t>New account acquisition</t>
        </is>
      </c>
      <c r="T6" t="inlineStr">
        <is>
          <t>Retail / Pharmacy Chain</t>
        </is>
      </c>
      <c r="U6" t="inlineStr">
        <is>
          <t>Yes</t>
        </is>
      </c>
    </row>
    <row r="7">
      <c r="A7" s="13" t="inlineStr">
        <is>
          <t>DEAL-4003</t>
        </is>
      </c>
      <c r="B7" s="13" t="inlineStr">
        <is>
          <t>National Buying Group Renewal</t>
        </is>
      </c>
      <c r="C7" s="13" t="inlineStr">
        <is>
          <t>CUST-1003</t>
        </is>
      </c>
      <c r="D7" s="13" t="inlineStr">
        <is>
          <t>Apex National GPO</t>
        </is>
      </c>
      <c r="E7" s="13" t="inlineStr">
        <is>
          <t>CUST-1003</t>
        </is>
      </c>
      <c r="F7" s="13" t="inlineStr">
        <is>
          <t>Apex National GPO</t>
        </is>
      </c>
      <c r="G7" s="13" t="inlineStr">
        <is>
          <t>Contract Renewal</t>
        </is>
      </c>
      <c r="H7" s="13" t="inlineStr">
        <is>
          <t>Buying Group</t>
        </is>
      </c>
      <c r="I7" s="13" t="inlineStr">
        <is>
          <t>Region A</t>
        </is>
      </c>
      <c r="J7" s="13" t="inlineStr">
        <is>
          <t>Maya Chen</t>
        </is>
      </c>
      <c r="K7" s="13" t="inlineStr">
        <is>
          <t>Jordan Blake</t>
        </is>
      </c>
      <c r="L7" s="13" t="inlineStr">
        <is>
          <t>Submitted</t>
        </is>
      </c>
      <c r="M7" s="13" t="inlineStr">
        <is>
          <t>2026-09-01</t>
        </is>
      </c>
      <c r="N7" s="13" t="inlineStr">
        <is>
          <t>2026-09-15</t>
        </is>
      </c>
      <c r="O7" s="13" t="inlineStr">
        <is>
          <t>2027-03-31</t>
        </is>
      </c>
      <c r="P7" s="13" t="inlineStr">
        <is>
          <t>Net 90</t>
        </is>
      </c>
      <c r="Q7" s="13" t="inlineStr">
        <is>
          <t>Contract renewal needed to defend incumbent position after competitor entry; proposal balances access retention with product margin guardrails.</t>
        </is>
      </c>
      <c r="R7" s="13" t="inlineStr">
        <is>
          <t>High</t>
        </is>
      </c>
      <c r="S7" t="inlineStr">
        <is>
          <t>Incumbent defense</t>
        </is>
      </c>
      <c r="T7" t="inlineStr">
        <is>
          <t>Buying Group</t>
        </is>
      </c>
      <c r="U7" t="inlineStr">
        <is>
          <t>Yes</t>
        </is>
      </c>
    </row>
    <row r="8">
      <c r="A8" s="13" t="inlineStr">
        <is>
          <t>DEAL-4004</t>
        </is>
      </c>
      <c r="B8" s="13" t="inlineStr">
        <is>
          <t>Region B Launch Stocking Offer</t>
        </is>
      </c>
      <c r="C8" s="13" t="inlineStr">
        <is>
          <t>CUST-1004</t>
        </is>
      </c>
      <c r="D8" s="13" t="inlineStr">
        <is>
          <t>HelioRx Distribution</t>
        </is>
      </c>
      <c r="E8" s="13" t="inlineStr">
        <is>
          <t>CUST-1007</t>
        </is>
      </c>
      <c r="F8" s="13" t="inlineStr">
        <is>
          <t>Orion Hospital Trust</t>
        </is>
      </c>
      <c r="G8" s="13" t="inlineStr">
        <is>
          <t>New Account / Launch</t>
        </is>
      </c>
      <c r="H8" s="13" t="inlineStr">
        <is>
          <t>Distributor</t>
        </is>
      </c>
      <c r="I8" s="13" t="inlineStr">
        <is>
          <t>Region B</t>
        </is>
      </c>
      <c r="J8" s="13" t="inlineStr">
        <is>
          <t>Sofia Romano</t>
        </is>
      </c>
      <c r="K8" s="13" t="inlineStr">
        <is>
          <t>Jordan Blake</t>
        </is>
      </c>
      <c r="L8" s="13" t="inlineStr">
        <is>
          <t>Submitted</t>
        </is>
      </c>
      <c r="M8" s="13" t="inlineStr">
        <is>
          <t>2026-08-30</t>
        </is>
      </c>
      <c r="N8" s="13" t="inlineStr">
        <is>
          <t>2026-09-10</t>
        </is>
      </c>
      <c r="O8" s="13" t="inlineStr">
        <is>
          <t>2027-01-31</t>
        </is>
      </c>
      <c r="P8" s="13" t="inlineStr">
        <is>
          <t>Net 60</t>
        </is>
      </c>
      <c r="Q8" s="13" t="inlineStr">
        <is>
          <t>Strategic launch support for new institutional demand; introductory price expected to secure preferred stocking and repeat orders.</t>
        </is>
      </c>
      <c r="R8" s="13" t="inlineStr">
        <is>
          <t>Medium</t>
        </is>
      </c>
      <c r="S8" t="inlineStr">
        <is>
          <t>New account acquisition</t>
        </is>
      </c>
      <c r="T8" t="inlineStr">
        <is>
          <t>Distributor</t>
        </is>
      </c>
      <c r="U8" t="inlineStr">
        <is>
          <t>No</t>
        </is>
      </c>
    </row>
    <row r="9">
      <c r="A9" s="13" t="inlineStr">
        <is>
          <t>DEAL-4005</t>
        </is>
      </c>
      <c r="B9" s="13" t="inlineStr">
        <is>
          <t>Institution Pilot Access Package</t>
        </is>
      </c>
      <c r="C9" s="13" t="inlineStr">
        <is>
          <t>CUST-1005</t>
        </is>
      </c>
      <c r="D9" s="13" t="inlineStr">
        <is>
          <t>Summit Oncology Clinics</t>
        </is>
      </c>
      <c r="E9" s="13" t="inlineStr">
        <is>
          <t>CUST-1005</t>
        </is>
      </c>
      <c r="F9" s="13" t="inlineStr">
        <is>
          <t>Summit Oncology Clinics</t>
        </is>
      </c>
      <c r="G9" s="13" t="inlineStr">
        <is>
          <t>New Account / Launch</t>
        </is>
      </c>
      <c r="H9" s="13" t="inlineStr">
        <is>
          <t>Hospital / Institution</t>
        </is>
      </c>
      <c r="I9" s="13" t="inlineStr">
        <is>
          <t>Region A</t>
        </is>
      </c>
      <c r="J9" s="13" t="inlineStr">
        <is>
          <t>Noah Patel</t>
        </is>
      </c>
      <c r="K9" s="13" t="inlineStr">
        <is>
          <t>Jordan Blake</t>
        </is>
      </c>
      <c r="L9" s="13" t="inlineStr">
        <is>
          <t>Submitted</t>
        </is>
      </c>
      <c r="M9" s="13" t="inlineStr">
        <is>
          <t>2026-07-20</t>
        </is>
      </c>
      <c r="N9" s="13" t="inlineStr">
        <is>
          <t>2026-07-25</t>
        </is>
      </c>
      <c r="O9" s="13" t="inlineStr">
        <is>
          <t>2026-10-31</t>
        </is>
      </c>
      <c r="P9" s="13" t="inlineStr">
        <is>
          <t>Net 30</t>
        </is>
      </c>
      <c r="Q9" s="13" t="inlineStr">
        <is>
          <t>Pilot access package for a regional institution; pricing remains within target margin and supports future standard-volume conversion.</t>
        </is>
      </c>
      <c r="R9" s="13" t="inlineStr">
        <is>
          <t>Low</t>
        </is>
      </c>
      <c r="S9" t="inlineStr">
        <is>
          <t>New account acquisition</t>
        </is>
      </c>
      <c r="T9" t="inlineStr">
        <is>
          <t>Hospital / Institution</t>
        </is>
      </c>
      <c r="U9" t="inlineStr">
        <is>
          <t>Yes</t>
        </is>
      </c>
    </row>
    <row r="10">
      <c r="A10" s="13" t="inlineStr">
        <is>
          <t>DEAL-4006</t>
        </is>
      </c>
      <c r="B10" s="13" t="inlineStr">
        <is>
          <t>Corporate Access Renewal Defense</t>
        </is>
      </c>
      <c r="C10" s="13" t="inlineStr">
        <is>
          <t>CUST-1006</t>
        </is>
      </c>
      <c r="D10" s="13" t="inlineStr">
        <is>
          <t>Cityline Payer Alliance</t>
        </is>
      </c>
      <c r="E10" s="13" t="inlineStr">
        <is>
          <t>CUST-1006</t>
        </is>
      </c>
      <c r="F10" s="13" t="inlineStr">
        <is>
          <t>Cityline Payer Alliance</t>
        </is>
      </c>
      <c r="G10" s="13" t="inlineStr">
        <is>
          <t>Contract Renewal</t>
        </is>
      </c>
      <c r="H10" s="13" t="inlineStr">
        <is>
          <t>Direct Corporate Account</t>
        </is>
      </c>
      <c r="I10" s="13" t="inlineStr">
        <is>
          <t>Region A</t>
        </is>
      </c>
      <c r="J10" s="13" t="inlineStr">
        <is>
          <t>Priya Shah</t>
        </is>
      </c>
      <c r="K10" s="13" t="inlineStr">
        <is>
          <t>Jordan Blake</t>
        </is>
      </c>
      <c r="L10" s="13" t="inlineStr">
        <is>
          <t>Submitted</t>
        </is>
      </c>
      <c r="M10" s="13" t="inlineStr">
        <is>
          <t>2026-09-15</t>
        </is>
      </c>
      <c r="N10" s="13" t="inlineStr">
        <is>
          <t>2026-10-01</t>
        </is>
      </c>
      <c r="O10" s="13" t="inlineStr">
        <is>
          <t>2027-09-30</t>
        </is>
      </c>
      <c r="P10" s="13" t="inlineStr">
        <is>
          <t>Net 90</t>
        </is>
      </c>
      <c r="Q10" s="13" t="inlineStr">
        <is>
          <t>Contract renewal needed to defend incumbent position after competitor entry; proposed terms protect covered demand while recognizing access pressure.</t>
        </is>
      </c>
      <c r="R10" s="13" t="inlineStr">
        <is>
          <t>High</t>
        </is>
      </c>
      <c r="S10" t="inlineStr">
        <is>
          <t>Incumbent defense</t>
        </is>
      </c>
      <c r="T10" t="inlineStr">
        <is>
          <t>Direct Corporate Account</t>
        </is>
      </c>
      <c r="U10" t="inlineStr">
        <is>
          <t>Yes</t>
        </is>
      </c>
    </row>
    <row r="11">
      <c r="A11" s="13" t="inlineStr">
        <is>
          <t>DEAL-4007</t>
        </is>
      </c>
      <c r="B11" s="13" t="inlineStr">
        <is>
          <t>Region C Public Tender Bid</t>
        </is>
      </c>
      <c r="C11" s="13" t="inlineStr">
        <is>
          <t>CUST-1009</t>
        </is>
      </c>
      <c r="D11" s="13" t="inlineStr">
        <is>
          <t>Crescent Public Tender Authority</t>
        </is>
      </c>
      <c r="E11" s="13" t="inlineStr">
        <is>
          <t>CUST-1009</t>
        </is>
      </c>
      <c r="F11" s="13" t="inlineStr">
        <is>
          <t>Crescent Public Tender Authority</t>
        </is>
      </c>
      <c r="G11" s="13" t="inlineStr">
        <is>
          <t>Tender</t>
        </is>
      </c>
      <c r="H11" s="13" t="inlineStr">
        <is>
          <t>Buying Group</t>
        </is>
      </c>
      <c r="I11" s="13" t="inlineStr">
        <is>
          <t>Region C</t>
        </is>
      </c>
      <c r="J11" s="13" t="inlineStr">
        <is>
          <t>Maya Chen</t>
        </is>
      </c>
      <c r="K11" s="13" t="inlineStr">
        <is>
          <t>Jordan Blake</t>
        </is>
      </c>
      <c r="L11" s="13" t="inlineStr">
        <is>
          <t>Submitted</t>
        </is>
      </c>
      <c r="M11" s="13" t="inlineStr">
        <is>
          <t>2026-10-15</t>
        </is>
      </c>
      <c r="N11" s="13" t="inlineStr">
        <is>
          <t>2026-10-30</t>
        </is>
      </c>
      <c r="O11" s="13" t="inlineStr">
        <is>
          <t>2027-04-30</t>
        </is>
      </c>
      <c r="P11" s="13" t="inlineStr">
        <is>
          <t>Net 75</t>
        </is>
      </c>
      <c r="Q11" s="13" t="inlineStr">
        <is>
          <t>Public tender bid with price visibility risk requiring pricing governance review; discount aims to retain award eligibility without breaching margin floor.</t>
        </is>
      </c>
      <c r="R11" s="13" t="inlineStr">
        <is>
          <t>Critical</t>
        </is>
      </c>
      <c r="S11" t="inlineStr">
        <is>
          <t>Public tender</t>
        </is>
      </c>
      <c r="T11" t="inlineStr">
        <is>
          <t>Buying Group</t>
        </is>
      </c>
      <c r="U11" t="inlineStr">
        <is>
          <t>Yes</t>
        </is>
      </c>
    </row>
    <row r="12">
      <c r="A12" s="13" t="inlineStr">
        <is>
          <t>DEAL-4008</t>
        </is>
      </c>
      <c r="B12" s="13" t="inlineStr">
        <is>
          <t>Institution Diagnostic Framework Launch</t>
        </is>
      </c>
      <c r="C12" s="13" t="inlineStr">
        <is>
          <t>CUST-1018</t>
        </is>
      </c>
      <c r="D12" s="13" t="inlineStr">
        <is>
          <t>Sterling Specialty Distribution</t>
        </is>
      </c>
      <c r="E12" s="13" t="inlineStr">
        <is>
          <t>CUST-1013</t>
        </is>
      </c>
      <c r="F12" s="13" t="inlineStr">
        <is>
          <t>Atlas Hospital Network</t>
        </is>
      </c>
      <c r="G12" s="13" t="inlineStr">
        <is>
          <t>New Account / Launch</t>
        </is>
      </c>
      <c r="H12" s="13" t="inlineStr">
        <is>
          <t>Distributor</t>
        </is>
      </c>
      <c r="I12" s="13" t="inlineStr">
        <is>
          <t>Region B</t>
        </is>
      </c>
      <c r="J12" s="13" t="inlineStr">
        <is>
          <t>Sofia Romano</t>
        </is>
      </c>
      <c r="K12" s="13" t="inlineStr">
        <is>
          <t>Jordan Blake</t>
        </is>
      </c>
      <c r="L12" s="13" t="inlineStr">
        <is>
          <t>Submitted</t>
        </is>
      </c>
      <c r="M12" s="13" t="inlineStr">
        <is>
          <t>2026-09-30</t>
        </is>
      </c>
      <c r="N12" s="13" t="inlineStr">
        <is>
          <t>2026-10-10</t>
        </is>
      </c>
      <c r="O12" s="13" t="inlineStr">
        <is>
          <t>2027-02-28</t>
        </is>
      </c>
      <c r="P12" s="13" t="inlineStr">
        <is>
          <t>Net 60</t>
        </is>
      </c>
      <c r="Q12" s="13" t="inlineStr">
        <is>
          <t>Strategic launch support for institutional diagnostic framework; temporary discount secures protocol inclusion and expected recurring demand.</t>
        </is>
      </c>
      <c r="R12" s="13" t="inlineStr">
        <is>
          <t>Medium</t>
        </is>
      </c>
      <c r="S12" t="inlineStr">
        <is>
          <t>New account acquisition</t>
        </is>
      </c>
      <c r="T12" t="inlineStr">
        <is>
          <t>Distributor</t>
        </is>
      </c>
      <c r="U12" t="inlineStr">
        <is>
          <t>No</t>
        </is>
      </c>
    </row>
    <row r="13">
      <c r="A13" s="13" t="inlineStr">
        <is>
          <t>DEAL-4009</t>
        </is>
      </c>
      <c r="B13" s="13" t="inlineStr">
        <is>
          <t>Corporate Immunology Competitive Defense</t>
        </is>
      </c>
      <c r="C13" s="13" t="inlineStr">
        <is>
          <t>CUST-1019</t>
        </is>
      </c>
      <c r="D13" s="13" t="inlineStr">
        <is>
          <t>BluePeak Payer Coalition</t>
        </is>
      </c>
      <c r="E13" s="13" t="inlineStr">
        <is>
          <t>CUST-1019</t>
        </is>
      </c>
      <c r="F13" s="13" t="inlineStr">
        <is>
          <t>BluePeak Payer Coalition</t>
        </is>
      </c>
      <c r="G13" s="13" t="inlineStr">
        <is>
          <t>Competitive Defense</t>
        </is>
      </c>
      <c r="H13" s="13" t="inlineStr">
        <is>
          <t>Direct Corporate Account</t>
        </is>
      </c>
      <c r="I13" s="13" t="inlineStr">
        <is>
          <t>Region A</t>
        </is>
      </c>
      <c r="J13" s="13" t="inlineStr">
        <is>
          <t>Priya Shah</t>
        </is>
      </c>
      <c r="K13" s="13" t="inlineStr">
        <is>
          <t>Jordan Blake</t>
        </is>
      </c>
      <c r="L13" s="13" t="inlineStr">
        <is>
          <t>Submitted</t>
        </is>
      </c>
      <c r="M13" s="13" t="inlineStr">
        <is>
          <t>2026-10-01</t>
        </is>
      </c>
      <c r="N13" s="13" t="inlineStr">
        <is>
          <t>2026-10-15</t>
        </is>
      </c>
      <c r="O13" s="13" t="inlineStr">
        <is>
          <t>2027-06-30</t>
        </is>
      </c>
      <c r="P13" s="13" t="inlineStr">
        <is>
          <t>Net 75</t>
        </is>
      </c>
      <c r="Q13" s="13" t="inlineStr">
        <is>
          <t>Competitive defense against aggressive bidder pricing; requested discount protects annual volume while maintaining positive gross profit.</t>
        </is>
      </c>
      <c r="R13" s="13" t="inlineStr">
        <is>
          <t>High</t>
        </is>
      </c>
      <c r="S13" t="inlineStr">
        <is>
          <t>Competitor price pressure</t>
        </is>
      </c>
      <c r="T13" t="inlineStr">
        <is>
          <t>Direct Corporate Account</t>
        </is>
      </c>
      <c r="U13" t="inlineStr">
        <is>
          <t>Yes</t>
        </is>
      </c>
    </row>
    <row r="14">
      <c r="A14" s="13" t="inlineStr">
        <is>
          <t>DEAL-4010</t>
        </is>
      </c>
      <c r="B14" s="13" t="inlineStr">
        <is>
          <t>Institution Inventory Mitigation Offer</t>
        </is>
      </c>
      <c r="C14" s="13" t="inlineStr">
        <is>
          <t>CUST-1020</t>
        </is>
      </c>
      <c r="D14" s="13" t="inlineStr">
        <is>
          <t>Metro Infusion Partners</t>
        </is>
      </c>
      <c r="E14" s="13" t="inlineStr">
        <is>
          <t>CUST-1020</t>
        </is>
      </c>
      <c r="F14" s="13" t="inlineStr">
        <is>
          <t>Metro Infusion Partners</t>
        </is>
      </c>
      <c r="G14" s="13" t="inlineStr">
        <is>
          <t>Inventory / Expiry Mitigation</t>
        </is>
      </c>
      <c r="H14" s="13" t="inlineStr">
        <is>
          <t>Hospital / Institution</t>
        </is>
      </c>
      <c r="I14" s="13" t="inlineStr">
        <is>
          <t>Region A</t>
        </is>
      </c>
      <c r="J14" s="13" t="inlineStr">
        <is>
          <t>Noah Patel</t>
        </is>
      </c>
      <c r="K14" s="13" t="inlineStr">
        <is>
          <t>Jordan Blake</t>
        </is>
      </c>
      <c r="L14" s="13" t="inlineStr">
        <is>
          <t>Submitted</t>
        </is>
      </c>
      <c r="M14" s="13" t="inlineStr">
        <is>
          <t>2026-08-20</t>
        </is>
      </c>
      <c r="N14" s="13" t="inlineStr">
        <is>
          <t>2026-09-01</t>
        </is>
      </c>
      <c r="O14" s="13" t="inlineStr">
        <is>
          <t>2026-12-15</t>
        </is>
      </c>
      <c r="P14" s="13" t="inlineStr">
        <is>
          <t>Net 45</t>
        </is>
      </c>
      <c r="Q14" s="13" t="inlineStr">
        <is>
          <t>Inventory mitigation opportunity using near-expiry stock while preserving positive gross profit and supporting repeat demand.</t>
        </is>
      </c>
      <c r="R14" s="13" t="inlineStr">
        <is>
          <t>High</t>
        </is>
      </c>
      <c r="S14" t="inlineStr">
        <is>
          <t>Inventory / expiry mitigation</t>
        </is>
      </c>
      <c r="T14" t="inlineStr">
        <is>
          <t>Hospital / Institution</t>
        </is>
      </c>
      <c r="U14" t="inlineStr">
        <is>
          <t>No</t>
        </is>
      </c>
    </row>
  </sheetData>
  <mergeCells count="2">
    <mergeCell ref="A2:R2"/>
    <mergeCell ref="A1:R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8" customWidth="1" min="2" max="2"/>
    <col width="14" customWidth="1" min="3" max="3"/>
    <col width="18" customWidth="1" min="4" max="4"/>
    <col width="12" customWidth="1" min="5" max="5"/>
    <col width="16" customWidth="1" min="6" max="6"/>
    <col width="16" customWidth="1" min="7" max="7"/>
    <col width="14" customWidth="1" min="8" max="8"/>
    <col width="18" customWidth="1" min="9" max="9"/>
    <col width="18" customWidth="1" min="10" max="10"/>
    <col width="14" customWidth="1" min="11" max="11"/>
    <col width="18" customWidth="1" min="12" max="12"/>
    <col width="22" customWidth="1" min="13" max="13"/>
    <col width="18" customWidth="1" min="14" max="14"/>
    <col width="72" customWidth="1" min="15" max="15"/>
    <col width="14.5" customWidth="1" min="16" max="16"/>
    <col width="11.25" customWidth="1" min="17" max="17"/>
  </cols>
  <sheetData>
    <row r="1" ht="22.5" customHeight="1">
      <c r="A1" s="3" t="inlineStr">
        <is>
          <t>Sample Deal Line Items - Commercial Pricing Economics</t>
        </is>
      </c>
    </row>
    <row r="2" ht="25.5" customHeight="1">
      <c r="A2" s="6" t="inlineStr">
        <is>
          <t>Line-level commercial pricing requests with gross price, requested net price, revenue, cost, and rationale.</t>
        </is>
      </c>
    </row>
    <row r="4" ht="24" customHeight="1">
      <c r="A4" s="14" t="inlineStr">
        <is>
          <t>Deal ID</t>
        </is>
      </c>
      <c r="B4" s="14" t="inlineStr">
        <is>
          <t>Line #</t>
        </is>
      </c>
      <c r="C4" s="14" t="inlineStr">
        <is>
          <t>SKU</t>
        </is>
      </c>
      <c r="D4" s="14" t="inlineStr">
        <is>
          <t>Product Name</t>
        </is>
      </c>
      <c r="E4" s="14" t="inlineStr">
        <is>
          <t>Quantity</t>
        </is>
      </c>
      <c r="F4" s="14" t="inlineStr">
        <is>
          <t>Unit List Price</t>
        </is>
      </c>
      <c r="G4" s="14" t="inlineStr">
        <is>
          <t>Unit Gross Price</t>
        </is>
      </c>
      <c r="H4" s="14" t="inlineStr">
        <is>
          <t>Base Rebate %</t>
        </is>
      </c>
      <c r="I4" s="14" t="inlineStr">
        <is>
          <t>Requested Discount %</t>
        </is>
      </c>
      <c r="J4" s="14" t="inlineStr">
        <is>
          <t>Requested Net Price</t>
        </is>
      </c>
      <c r="K4" s="14" t="inlineStr">
        <is>
          <t>Unit Cost</t>
        </is>
      </c>
      <c r="L4" s="14" t="inlineStr">
        <is>
          <t>Gross Revenue</t>
        </is>
      </c>
      <c r="M4" s="14" t="inlineStr">
        <is>
          <t>Proposed Net Revenue</t>
        </is>
      </c>
      <c r="N4" s="14" t="inlineStr">
        <is>
          <t>Requested Delivery Date</t>
        </is>
      </c>
      <c r="O4" s="14" t="inlineStr">
        <is>
          <t>Line Commercial Rationale</t>
        </is>
      </c>
    </row>
    <row r="5">
      <c r="A5" s="13" t="inlineStr">
        <is>
          <t>DEAL-4001</t>
        </is>
      </c>
      <c r="B5" s="13" t="n">
        <v>1</v>
      </c>
      <c r="C5" s="13" t="inlineStr">
        <is>
          <t>RX-ONC-100</t>
        </is>
      </c>
      <c r="D5" s="13" t="inlineStr">
        <is>
          <t>Product Alpha</t>
        </is>
      </c>
      <c r="E5" s="15" t="n">
        <v>120</v>
      </c>
      <c r="F5" s="16" t="n">
        <v>1850</v>
      </c>
      <c r="G5" s="16" t="n">
        <v>1776</v>
      </c>
      <c r="H5" s="17" t="n">
        <v>0.04</v>
      </c>
      <c r="I5" s="17" t="n">
        <v>0.18</v>
      </c>
      <c r="J5" s="16" t="n">
        <v>1456.32</v>
      </c>
      <c r="K5" s="16" t="n">
        <v>555</v>
      </c>
      <c r="L5" s="16" t="n">
        <v>213120</v>
      </c>
      <c r="M5" s="16" t="n">
        <v>174758.4</v>
      </c>
      <c r="N5" s="18" t="inlineStr">
        <is>
          <t>2026-08-15</t>
        </is>
      </c>
      <c r="O5" s="19" t="inlineStr">
        <is>
          <t>Discount requested to match expected competitor bid while preserving committed annual volume.</t>
        </is>
      </c>
    </row>
    <row r="6">
      <c r="A6" s="13" t="inlineStr">
        <is>
          <t>DEAL-4001</t>
        </is>
      </c>
      <c r="B6" s="13" t="n">
        <v>2</v>
      </c>
      <c r="C6" s="13" t="inlineStr">
        <is>
          <t>RX-ONC-500</t>
        </is>
      </c>
      <c r="D6" s="13" t="inlineStr">
        <is>
          <t>Product Beta</t>
        </is>
      </c>
      <c r="E6" s="15" t="n">
        <v>40</v>
      </c>
      <c r="F6" s="16" t="n">
        <v>7200</v>
      </c>
      <c r="G6" s="16" t="n">
        <v>6840</v>
      </c>
      <c r="H6" s="17" t="n">
        <v>0.05</v>
      </c>
      <c r="I6" s="17" t="n">
        <v>0.18</v>
      </c>
      <c r="J6" s="16" t="n">
        <v>5608.8</v>
      </c>
      <c r="K6" s="16" t="n">
        <v>2160</v>
      </c>
      <c r="L6" s="16" t="n">
        <v>273600</v>
      </c>
      <c r="M6" s="16" t="n">
        <v>224352</v>
      </c>
      <c r="N6" s="18" t="inlineStr">
        <is>
          <t>2026-08-15</t>
        </is>
      </c>
      <c r="O6" s="19" t="inlineStr">
        <is>
          <t>Bundle line included to protect strategic volume and maintain continuity for high-value demand.</t>
        </is>
      </c>
    </row>
    <row r="7">
      <c r="A7" s="13" t="inlineStr">
        <is>
          <t>DEAL-4002</t>
        </is>
      </c>
      <c r="B7" s="13" t="n">
        <v>1</v>
      </c>
      <c r="C7" s="13" t="inlineStr">
        <is>
          <t>BIO-RA-200</t>
        </is>
      </c>
      <c r="D7" s="13" t="inlineStr">
        <is>
          <t>Product Gamma</t>
        </is>
      </c>
      <c r="E7" s="15" t="n">
        <v>500</v>
      </c>
      <c r="F7" s="16" t="n">
        <v>1180</v>
      </c>
      <c r="G7" s="16" t="n">
        <v>1121</v>
      </c>
      <c r="H7" s="17" t="n">
        <v>0.05</v>
      </c>
      <c r="I7" s="17" t="n">
        <v>0.12</v>
      </c>
      <c r="J7" s="16" t="n">
        <v>986.48</v>
      </c>
      <c r="K7" s="16" t="n">
        <v>413</v>
      </c>
      <c r="L7" s="16" t="n">
        <v>560500</v>
      </c>
      <c r="M7" s="16" t="n">
        <v>493240</v>
      </c>
      <c r="N7" s="18" t="inlineStr">
        <is>
          <t>2026-08-20</t>
        </is>
      </c>
      <c r="O7" s="19" t="inlineStr">
        <is>
          <t>Conversion discount supports account onboarding while preserving repeat-volume economics.</t>
        </is>
      </c>
    </row>
    <row r="8">
      <c r="A8" s="13" t="inlineStr">
        <is>
          <t>DEAL-4002</t>
        </is>
      </c>
      <c r="B8" s="13" t="n">
        <v>2</v>
      </c>
      <c r="C8" s="13" t="inlineStr">
        <is>
          <t>DX-COMP-01</t>
        </is>
      </c>
      <c r="D8" s="13" t="inlineStr">
        <is>
          <t>Product Zeta</t>
        </is>
      </c>
      <c r="E8" s="15" t="n">
        <v>75</v>
      </c>
      <c r="F8" s="16" t="n">
        <v>950</v>
      </c>
      <c r="G8" s="16" t="n">
        <v>902.5</v>
      </c>
      <c r="H8" s="17" t="n">
        <v>0.05</v>
      </c>
      <c r="I8" s="17" t="n">
        <v>0.12</v>
      </c>
      <c r="J8" s="16" t="n">
        <v>794.2</v>
      </c>
      <c r="K8" s="16" t="n">
        <v>333</v>
      </c>
      <c r="L8" s="16" t="n">
        <v>67687.5</v>
      </c>
      <c r="M8" s="16" t="n">
        <v>59565</v>
      </c>
      <c r="N8" s="18" t="inlineStr">
        <is>
          <t>2026-08-20</t>
        </is>
      </c>
      <c r="O8" s="19" t="inlineStr">
        <is>
          <t>Bundle line included to support account conversion and protect strategic volume.</t>
        </is>
      </c>
    </row>
    <row r="9">
      <c r="A9" s="13" t="inlineStr">
        <is>
          <t>DEAL-4003</t>
        </is>
      </c>
      <c r="B9" s="13" t="n">
        <v>1</v>
      </c>
      <c r="C9" s="13" t="inlineStr">
        <is>
          <t>RX-CARD-50</t>
        </is>
      </c>
      <c r="D9" s="13" t="inlineStr">
        <is>
          <t>Product Delta</t>
        </is>
      </c>
      <c r="E9" s="15" t="n">
        <v>15000</v>
      </c>
      <c r="F9" s="16" t="n">
        <v>420</v>
      </c>
      <c r="G9" s="16" t="n">
        <v>394.8</v>
      </c>
      <c r="H9" s="17" t="n">
        <v>0.06</v>
      </c>
      <c r="I9" s="17" t="n">
        <v>0.22</v>
      </c>
      <c r="J9" s="16" t="n">
        <v>307.94</v>
      </c>
      <c r="K9" s="16" t="n">
        <v>147</v>
      </c>
      <c r="L9" s="16" t="n">
        <v>5922000</v>
      </c>
      <c r="M9" s="16" t="n">
        <v>4619100</v>
      </c>
      <c r="N9" s="18" t="inlineStr">
        <is>
          <t>2026-09-15</t>
        </is>
      </c>
      <c r="O9" s="19" t="inlineStr">
        <is>
          <t>Higher discount requested for public tender; price visibility risk flagged for governance review.</t>
        </is>
      </c>
    </row>
    <row r="10">
      <c r="A10" s="13" t="inlineStr">
        <is>
          <t>DEAL-4003</t>
        </is>
      </c>
      <c r="B10" s="13" t="n">
        <v>2</v>
      </c>
      <c r="C10" s="13" t="inlineStr">
        <is>
          <t>RX-ONC-ORAL</t>
        </is>
      </c>
      <c r="D10" s="13" t="inlineStr">
        <is>
          <t>Product Iota</t>
        </is>
      </c>
      <c r="E10" s="15" t="n">
        <v>90</v>
      </c>
      <c r="F10" s="16" t="n">
        <v>9400</v>
      </c>
      <c r="G10" s="16" t="n">
        <v>9024</v>
      </c>
      <c r="H10" s="17" t="n">
        <v>0.04</v>
      </c>
      <c r="I10" s="17" t="n">
        <v>0.22</v>
      </c>
      <c r="J10" s="16" t="n">
        <v>7038.72</v>
      </c>
      <c r="K10" s="16" t="n">
        <v>2820</v>
      </c>
      <c r="L10" s="16" t="n">
        <v>812160</v>
      </c>
      <c r="M10" s="16" t="n">
        <v>633484.8</v>
      </c>
      <c r="N10" s="18" t="inlineStr">
        <is>
          <t>2026-09-20</t>
        </is>
      </c>
      <c r="O10" s="19" t="inlineStr">
        <is>
          <t>Access bundle supports broader award scope while keeping positive gross profit.</t>
        </is>
      </c>
    </row>
    <row r="11">
      <c r="A11" s="13" t="inlineStr">
        <is>
          <t>DEAL-4004</t>
        </is>
      </c>
      <c r="B11" s="13" t="n">
        <v>1</v>
      </c>
      <c r="C11" s="13" t="inlineStr">
        <is>
          <t>RX-RARE-10</t>
        </is>
      </c>
      <c r="D11" s="13" t="inlineStr">
        <is>
          <t>Product Epsilon</t>
        </is>
      </c>
      <c r="E11" s="15" t="n">
        <v>20</v>
      </c>
      <c r="F11" s="16" t="n">
        <v>28600</v>
      </c>
      <c r="G11" s="16" t="n">
        <v>27170</v>
      </c>
      <c r="H11" s="17" t="n">
        <v>0.05</v>
      </c>
      <c r="I11" s="17" t="n">
        <v>0.34</v>
      </c>
      <c r="J11" s="16" t="n">
        <v>17932.2</v>
      </c>
      <c r="K11" s="16" t="n">
        <v>7150</v>
      </c>
      <c r="L11" s="16" t="n">
        <v>543400</v>
      </c>
      <c r="M11" s="16" t="n">
        <v>358644</v>
      </c>
      <c r="N11" s="18" t="inlineStr">
        <is>
          <t>2026-08-30</t>
        </is>
      </c>
      <c r="O11" s="19" t="inlineStr">
        <is>
          <t>Launch support discount requested to secure stocking commitment in a new regional account.</t>
        </is>
      </c>
    </row>
    <row r="12">
      <c r="A12" s="13" t="inlineStr">
        <is>
          <t>DEAL-4004</t>
        </is>
      </c>
      <c r="B12" s="13" t="n">
        <v>2</v>
      </c>
      <c r="C12" s="13" t="inlineStr">
        <is>
          <t>RX-RARE-INF</t>
        </is>
      </c>
      <c r="D12" s="13" t="inlineStr">
        <is>
          <t>Product Kappa</t>
        </is>
      </c>
      <c r="E12" s="15" t="n">
        <v>10</v>
      </c>
      <c r="F12" s="16" t="n">
        <v>34800</v>
      </c>
      <c r="G12" s="16" t="n">
        <v>33060</v>
      </c>
      <c r="H12" s="17" t="n">
        <v>0.05</v>
      </c>
      <c r="I12" s="17" t="n">
        <v>0.34</v>
      </c>
      <c r="J12" s="16" t="n">
        <v>21819.6</v>
      </c>
      <c r="K12" s="16" t="n">
        <v>8700</v>
      </c>
      <c r="L12" s="16" t="n">
        <v>330600</v>
      </c>
      <c r="M12" s="16" t="n">
        <v>218196</v>
      </c>
      <c r="N12" s="18" t="inlineStr">
        <is>
          <t>2026-09-10</t>
        </is>
      </c>
      <c r="O12" s="19" t="inlineStr">
        <is>
          <t>Bundle line supports initial account conversion and repeat demand creation.</t>
        </is>
      </c>
    </row>
    <row r="13">
      <c r="A13" s="13" t="inlineStr">
        <is>
          <t>DEAL-4005</t>
        </is>
      </c>
      <c r="B13" s="13" t="n">
        <v>1</v>
      </c>
      <c r="C13" s="13" t="inlineStr">
        <is>
          <t>BIO-RA-200</t>
        </is>
      </c>
      <c r="D13" s="13" t="inlineStr">
        <is>
          <t>Product Gamma</t>
        </is>
      </c>
      <c r="E13" s="15" t="n">
        <v>180</v>
      </c>
      <c r="F13" s="16" t="n">
        <v>1180</v>
      </c>
      <c r="G13" s="16" t="n">
        <v>1121</v>
      </c>
      <c r="H13" s="17" t="n">
        <v>0.05</v>
      </c>
      <c r="I13" s="17" t="n">
        <v>0.05</v>
      </c>
      <c r="J13" s="16" t="n">
        <v>1064.95</v>
      </c>
      <c r="K13" s="16" t="n">
        <v>413</v>
      </c>
      <c r="L13" s="16" t="n">
        <v>201780</v>
      </c>
      <c r="M13" s="16" t="n">
        <v>191691</v>
      </c>
      <c r="N13" s="18" t="inlineStr">
        <is>
          <t>2026-07-25</t>
        </is>
      </c>
      <c r="O13" s="19" t="inlineStr">
        <is>
          <t>Limited discount supports pilot conversion while staying within standard commercial guidance.</t>
        </is>
      </c>
    </row>
    <row r="14">
      <c r="A14" s="13" t="inlineStr">
        <is>
          <t>DEAL-4005</t>
        </is>
      </c>
      <c r="B14" s="13" t="n">
        <v>2</v>
      </c>
      <c r="C14" s="13" t="inlineStr">
        <is>
          <t>DX-COMP-01</t>
        </is>
      </c>
      <c r="D14" s="13" t="inlineStr">
        <is>
          <t>Product Zeta</t>
        </is>
      </c>
      <c r="E14" s="15" t="n">
        <v>80</v>
      </c>
      <c r="F14" s="16" t="n">
        <v>950</v>
      </c>
      <c r="G14" s="16" t="n">
        <v>902.5</v>
      </c>
      <c r="H14" s="17" t="n">
        <v>0.05</v>
      </c>
      <c r="I14" s="17" t="n">
        <v>0.05</v>
      </c>
      <c r="J14" s="16" t="n">
        <v>857.38</v>
      </c>
      <c r="K14" s="16" t="n">
        <v>333</v>
      </c>
      <c r="L14" s="16" t="n">
        <v>72200</v>
      </c>
      <c r="M14" s="16" t="n">
        <v>68590.39999999999</v>
      </c>
      <c r="N14" s="18" t="inlineStr">
        <is>
          <t>2026-07-25</t>
        </is>
      </c>
      <c r="O14" s="19" t="inlineStr">
        <is>
          <t>Bundle line included to support account conversion and protect strategic volume.</t>
        </is>
      </c>
    </row>
    <row r="15">
      <c r="A15" s="13" t="inlineStr">
        <is>
          <t>DEAL-4006</t>
        </is>
      </c>
      <c r="B15" s="13" t="n">
        <v>1</v>
      </c>
      <c r="C15" s="13" t="inlineStr">
        <is>
          <t>RX-CARD-50</t>
        </is>
      </c>
      <c r="D15" s="13" t="inlineStr">
        <is>
          <t>Product Delta</t>
        </is>
      </c>
      <c r="E15" s="15" t="n">
        <v>22000</v>
      </c>
      <c r="F15" s="16" t="n">
        <v>420</v>
      </c>
      <c r="G15" s="16" t="n">
        <v>394.8</v>
      </c>
      <c r="H15" s="17" t="n">
        <v>0.06</v>
      </c>
      <c r="I15" s="17" t="n">
        <v>0.3</v>
      </c>
      <c r="J15" s="16" t="n">
        <v>276.36</v>
      </c>
      <c r="K15" s="16" t="n">
        <v>147</v>
      </c>
      <c r="L15" s="16" t="n">
        <v>8685600</v>
      </c>
      <c r="M15" s="16" t="n">
        <v>6079920</v>
      </c>
      <c r="N15" s="18" t="inlineStr">
        <is>
          <t>2026-10-01</t>
        </is>
      </c>
      <c r="O15" s="19" t="inlineStr">
        <is>
          <t>Contract renewal discount defends incumbent position after competitor entry.</t>
        </is>
      </c>
    </row>
    <row r="16">
      <c r="A16" s="13" t="inlineStr">
        <is>
          <t>DEAL-4006</t>
        </is>
      </c>
      <c r="B16" s="13" t="n">
        <v>2</v>
      </c>
      <c r="C16" s="13" t="inlineStr">
        <is>
          <t>RX-HOSP-20</t>
        </is>
      </c>
      <c r="D16" s="13" t="inlineStr">
        <is>
          <t>Product Eta</t>
        </is>
      </c>
      <c r="E16" s="15" t="n">
        <v>900</v>
      </c>
      <c r="F16" s="16" t="n">
        <v>1320</v>
      </c>
      <c r="G16" s="16" t="n">
        <v>1240.8</v>
      </c>
      <c r="H16" s="17" t="n">
        <v>0.06</v>
      </c>
      <c r="I16" s="17" t="n">
        <v>0.3</v>
      </c>
      <c r="J16" s="16" t="n">
        <v>868.5599999999999</v>
      </c>
      <c r="K16" s="16" t="n">
        <v>462</v>
      </c>
      <c r="L16" s="16" t="n">
        <v>1116720</v>
      </c>
      <c r="M16" s="16" t="n">
        <v>781704</v>
      </c>
      <c r="N16" s="18" t="inlineStr">
        <is>
          <t>2026-10-01</t>
        </is>
      </c>
      <c r="O16" s="19" t="inlineStr">
        <is>
          <t>Bundle line preserves institutional volume and protects renewal scope.</t>
        </is>
      </c>
    </row>
    <row r="17">
      <c r="A17" s="13" t="inlineStr">
        <is>
          <t>DEAL-4007</t>
        </is>
      </c>
      <c r="B17" s="13" t="n">
        <v>1</v>
      </c>
      <c r="C17" s="13" t="inlineStr">
        <is>
          <t>RX-ONC-100</t>
        </is>
      </c>
      <c r="D17" s="13" t="inlineStr">
        <is>
          <t>Product Alpha</t>
        </is>
      </c>
      <c r="E17" s="15" t="n">
        <v>600</v>
      </c>
      <c r="F17" s="16" t="n">
        <v>1850</v>
      </c>
      <c r="G17" s="16" t="n">
        <v>1776</v>
      </c>
      <c r="H17" s="17" t="n">
        <v>0.04</v>
      </c>
      <c r="I17" s="17" t="n">
        <v>0.28</v>
      </c>
      <c r="J17" s="16" t="n">
        <v>1278.72</v>
      </c>
      <c r="K17" s="16" t="n">
        <v>555</v>
      </c>
      <c r="L17" s="16" t="n">
        <v>1065600</v>
      </c>
      <c r="M17" s="16" t="n">
        <v>767232</v>
      </c>
      <c r="N17" s="18" t="inlineStr">
        <is>
          <t>2026-10-30</t>
        </is>
      </c>
      <c r="O17" s="19" t="inlineStr">
        <is>
          <t>Higher discount requested for public tender; price visibility risk flagged.</t>
        </is>
      </c>
    </row>
    <row r="18">
      <c r="A18" s="13" t="inlineStr">
        <is>
          <t>DEAL-4007</t>
        </is>
      </c>
      <c r="B18" s="13" t="n">
        <v>2</v>
      </c>
      <c r="C18" s="13" t="inlineStr">
        <is>
          <t>RX-HOSP-20</t>
        </is>
      </c>
      <c r="D18" s="13" t="inlineStr">
        <is>
          <t>Product Eta</t>
        </is>
      </c>
      <c r="E18" s="15" t="n">
        <v>1200</v>
      </c>
      <c r="F18" s="16" t="n">
        <v>1320</v>
      </c>
      <c r="G18" s="16" t="n">
        <v>1240.8</v>
      </c>
      <c r="H18" s="17" t="n">
        <v>0.06</v>
      </c>
      <c r="I18" s="17" t="n">
        <v>0.28</v>
      </c>
      <c r="J18" s="16" t="n">
        <v>893.38</v>
      </c>
      <c r="K18" s="16" t="n">
        <v>462</v>
      </c>
      <c r="L18" s="16" t="n">
        <v>1488960</v>
      </c>
      <c r="M18" s="16" t="n">
        <v>1072056</v>
      </c>
      <c r="N18" s="18" t="inlineStr">
        <is>
          <t>2026-10-30</t>
        </is>
      </c>
      <c r="O18" s="19" t="inlineStr">
        <is>
          <t>Tender support line included to protect award volume across the full package.</t>
        </is>
      </c>
    </row>
    <row r="19">
      <c r="A19" s="13" t="inlineStr">
        <is>
          <t>DEAL-4008</t>
        </is>
      </c>
      <c r="B19" s="13" t="n">
        <v>1</v>
      </c>
      <c r="C19" s="13" t="inlineStr">
        <is>
          <t>DX-GENE-02</t>
        </is>
      </c>
      <c r="D19" s="13" t="inlineStr">
        <is>
          <t>Product Lambda</t>
        </is>
      </c>
      <c r="E19" s="15" t="n">
        <v>250</v>
      </c>
      <c r="F19" s="16" t="n">
        <v>1280</v>
      </c>
      <c r="G19" s="16" t="n">
        <v>1216</v>
      </c>
      <c r="H19" s="17" t="n">
        <v>0.05</v>
      </c>
      <c r="I19" s="17" t="n">
        <v>0.16</v>
      </c>
      <c r="J19" s="16" t="n">
        <v>1021.44</v>
      </c>
      <c r="K19" s="16" t="n">
        <v>448</v>
      </c>
      <c r="L19" s="16" t="n">
        <v>304000</v>
      </c>
      <c r="M19" s="16" t="n">
        <v>255360</v>
      </c>
      <c r="N19" s="18" t="inlineStr">
        <is>
          <t>2026-10-10</t>
        </is>
      </c>
      <c r="O19" s="19" t="inlineStr">
        <is>
          <t>Strategic launch support discount expected to secure framework listing and repeat demand.</t>
        </is>
      </c>
    </row>
    <row r="20">
      <c r="A20" s="13" t="inlineStr">
        <is>
          <t>DEAL-4008</t>
        </is>
      </c>
      <c r="B20" s="13" t="n">
        <v>2</v>
      </c>
      <c r="C20" s="13" t="inlineStr">
        <is>
          <t>RX-ONC-ORAL</t>
        </is>
      </c>
      <c r="D20" s="13" t="inlineStr">
        <is>
          <t>Product Iota</t>
        </is>
      </c>
      <c r="E20" s="15" t="n">
        <v>70</v>
      </c>
      <c r="F20" s="16" t="n">
        <v>9400</v>
      </c>
      <c r="G20" s="16" t="n">
        <v>9024</v>
      </c>
      <c r="H20" s="17" t="n">
        <v>0.04</v>
      </c>
      <c r="I20" s="17" t="n">
        <v>0.16</v>
      </c>
      <c r="J20" s="16" t="n">
        <v>7580.16</v>
      </c>
      <c r="K20" s="16" t="n">
        <v>2820</v>
      </c>
      <c r="L20" s="16" t="n">
        <v>631680</v>
      </c>
      <c r="M20" s="16" t="n">
        <v>530611.2</v>
      </c>
      <c r="N20" s="18" t="inlineStr">
        <is>
          <t>2026-10-15</t>
        </is>
      </c>
      <c r="O20" s="19" t="inlineStr">
        <is>
          <t>Bundle line included to support account conversion and protect strategic volume.</t>
        </is>
      </c>
    </row>
    <row r="21">
      <c r="A21" s="13" t="inlineStr">
        <is>
          <t>DEAL-4009</t>
        </is>
      </c>
      <c r="B21" s="13" t="n">
        <v>1</v>
      </c>
      <c r="C21" s="13" t="inlineStr">
        <is>
          <t>BIO-DERM-80</t>
        </is>
      </c>
      <c r="D21" s="13" t="inlineStr">
        <is>
          <t>Product Theta</t>
        </is>
      </c>
      <c r="E21" s="15" t="n">
        <v>850</v>
      </c>
      <c r="F21" s="16" t="n">
        <v>980</v>
      </c>
      <c r="G21" s="16" t="n">
        <v>931</v>
      </c>
      <c r="H21" s="17" t="n">
        <v>0.05</v>
      </c>
      <c r="I21" s="17" t="n">
        <v>0.24</v>
      </c>
      <c r="J21" s="16" t="n">
        <v>707.5599999999999</v>
      </c>
      <c r="K21" s="16" t="n">
        <v>343</v>
      </c>
      <c r="L21" s="16" t="n">
        <v>791350</v>
      </c>
      <c r="M21" s="16" t="n">
        <v>601426</v>
      </c>
      <c r="N21" s="18" t="inlineStr">
        <is>
          <t>2026-10-15</t>
        </is>
      </c>
      <c r="O21" s="19" t="inlineStr">
        <is>
          <t>Discount requested to match expected competitor bid while preserving volume commitment.</t>
        </is>
      </c>
    </row>
    <row r="22">
      <c r="A22" s="13" t="inlineStr">
        <is>
          <t>DEAL-4009</t>
        </is>
      </c>
      <c r="B22" s="13" t="n">
        <v>2</v>
      </c>
      <c r="C22" s="13" t="inlineStr">
        <is>
          <t>BIO-RA-200</t>
        </is>
      </c>
      <c r="D22" s="13" t="inlineStr">
        <is>
          <t>Product Gamma</t>
        </is>
      </c>
      <c r="E22" s="15" t="n">
        <v>700</v>
      </c>
      <c r="F22" s="16" t="n">
        <v>1180</v>
      </c>
      <c r="G22" s="16" t="n">
        <v>1121</v>
      </c>
      <c r="H22" s="17" t="n">
        <v>0.05</v>
      </c>
      <c r="I22" s="17" t="n">
        <v>0.24</v>
      </c>
      <c r="J22" s="16" t="n">
        <v>851.96</v>
      </c>
      <c r="K22" s="16" t="n">
        <v>413</v>
      </c>
      <c r="L22" s="16" t="n">
        <v>784700</v>
      </c>
      <c r="M22" s="16" t="n">
        <v>596372</v>
      </c>
      <c r="N22" s="18" t="inlineStr">
        <is>
          <t>2026-10-15</t>
        </is>
      </c>
      <c r="O22" s="19" t="inlineStr">
        <is>
          <t>Competitive defense line protects strategic volume in a multi-product access request.</t>
        </is>
      </c>
    </row>
    <row r="23">
      <c r="A23" s="13" t="inlineStr">
        <is>
          <t>DEAL-4010</t>
        </is>
      </c>
      <c r="B23" s="13" t="n">
        <v>1</v>
      </c>
      <c r="C23" s="13" t="inlineStr">
        <is>
          <t>RX-RARE-INF</t>
        </is>
      </c>
      <c r="D23" s="13" t="inlineStr">
        <is>
          <t>Product Kappa</t>
        </is>
      </c>
      <c r="E23" s="15" t="n">
        <v>14</v>
      </c>
      <c r="F23" s="16" t="n">
        <v>34800</v>
      </c>
      <c r="G23" s="16" t="n">
        <v>33060</v>
      </c>
      <c r="H23" s="17" t="n">
        <v>0.05</v>
      </c>
      <c r="I23" s="17" t="n">
        <v>0.36</v>
      </c>
      <c r="J23" s="16" t="n">
        <v>21158.4</v>
      </c>
      <c r="K23" s="16" t="n">
        <v>8700</v>
      </c>
      <c r="L23" s="16" t="n">
        <v>462840</v>
      </c>
      <c r="M23" s="16" t="n">
        <v>296217.6</v>
      </c>
      <c r="N23" s="18" t="inlineStr">
        <is>
          <t>2026-09-01</t>
        </is>
      </c>
      <c r="O23" s="19" t="inlineStr">
        <is>
          <t>Near-expiry allocation proposed to avoid write-off while maintaining positive gross profit.</t>
        </is>
      </c>
    </row>
    <row r="24">
      <c r="A24" s="13" t="inlineStr">
        <is>
          <t>DEAL-4010</t>
        </is>
      </c>
      <c r="B24" s="13" t="n">
        <v>2</v>
      </c>
      <c r="C24" s="13" t="inlineStr">
        <is>
          <t>RX-RARE-10</t>
        </is>
      </c>
      <c r="D24" s="13" t="inlineStr">
        <is>
          <t>Product Epsilon</t>
        </is>
      </c>
      <c r="E24" s="15" t="n">
        <v>12</v>
      </c>
      <c r="F24" s="16" t="n">
        <v>28600</v>
      </c>
      <c r="G24" s="16" t="n">
        <v>27170</v>
      </c>
      <c r="H24" s="17" t="n">
        <v>0.05</v>
      </c>
      <c r="I24" s="17" t="n">
        <v>0.36</v>
      </c>
      <c r="J24" s="16" t="n">
        <v>17388.8</v>
      </c>
      <c r="K24" s="16" t="n">
        <v>7150</v>
      </c>
      <c r="L24" s="16" t="n">
        <v>326040</v>
      </c>
      <c r="M24" s="16" t="n">
        <v>208665.6</v>
      </c>
      <c r="N24" s="18" t="inlineStr">
        <is>
          <t>2026-09-01</t>
        </is>
      </c>
      <c r="O24" s="19" t="inlineStr">
        <is>
          <t>Inventory mitigation discount supports uptake of aging stock while preserving contribution.</t>
        </is>
      </c>
    </row>
  </sheetData>
  <autoFilter ref="A4:O24"/>
  <mergeCells count="2">
    <mergeCell ref="A2:Q2"/>
    <mergeCell ref="A1:Q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32" customWidth="1" min="2" max="2"/>
    <col width="28" customWidth="1" min="3" max="3"/>
    <col width="28" customWidth="1" min="4" max="4"/>
    <col width="17" customWidth="1" min="5" max="5"/>
    <col width="20" customWidth="1" min="6" max="6"/>
    <col width="17" customWidth="1" min="7" max="7"/>
    <col width="12" customWidth="1" min="8" max="8"/>
    <col width="16" customWidth="1" min="9" max="9"/>
    <col width="14" customWidth="1" min="10" max="10"/>
    <col width="18" customWidth="1" min="11" max="11"/>
    <col width="28" customWidth="1" min="12" max="12"/>
    <col width="16" customWidth="1" min="13" max="13"/>
    <col width="56" customWidth="1" min="14" max="14"/>
    <col width="34" customWidth="1" min="15" max="15"/>
    <col width="15" customWidth="1" min="16" max="16"/>
    <col width="24" customWidth="1" min="17" max="17"/>
  </cols>
  <sheetData>
    <row r="1" ht="22.5" customHeight="1">
      <c r="A1" s="3" t="inlineStr">
        <is>
          <t>Deal Summary - Executive Approval Summary</t>
        </is>
      </c>
    </row>
    <row r="2" ht="25.5" customHeight="1">
      <c r="A2" s="6" t="inlineStr">
        <is>
          <t>Calculated from Deal Header and Line Items; risk score, route, and recommendation use transparent approval rules.</t>
        </is>
      </c>
    </row>
    <row r="4" ht="24" customHeight="1">
      <c r="A4" s="14" t="inlineStr">
        <is>
          <t>Deal ID</t>
        </is>
      </c>
      <c r="B4" s="14" t="inlineStr">
        <is>
          <t>Deal Title</t>
        </is>
      </c>
      <c r="C4" s="14" t="inlineStr">
        <is>
          <t>Sold-To Customer</t>
        </is>
      </c>
      <c r="D4" s="14" t="inlineStr">
        <is>
          <t>End Account</t>
        </is>
      </c>
      <c r="E4" s="14" t="inlineStr">
        <is>
          <t>Gross Revenue</t>
        </is>
      </c>
      <c r="F4" s="14" t="inlineStr">
        <is>
          <t>Proposed Net Revenue</t>
        </is>
      </c>
      <c r="G4" s="14" t="inlineStr">
        <is>
          <t>Discount Amount</t>
        </is>
      </c>
      <c r="H4" s="14" t="inlineStr">
        <is>
          <t>Discount %</t>
        </is>
      </c>
      <c r="I4" s="14" t="inlineStr">
        <is>
          <t>Gross Profit</t>
        </is>
      </c>
      <c r="J4" s="14" t="inlineStr">
        <is>
          <t>Gross Margin %</t>
        </is>
      </c>
      <c r="K4" s="14" t="inlineStr">
        <is>
          <t>KAM Risk Assessment</t>
        </is>
      </c>
      <c r="L4" s="14" t="inlineStr">
        <is>
          <t>Risk Reason</t>
        </is>
      </c>
      <c r="M4" s="14" t="inlineStr">
        <is>
          <t>System Risk Score</t>
        </is>
      </c>
      <c r="N4" s="14" t="inlineStr">
        <is>
          <t>Approval Route</t>
        </is>
      </c>
      <c r="O4" s="14" t="inlineStr">
        <is>
          <t>Business Recommendation</t>
        </is>
      </c>
      <c r="P4" s="14" t="inlineStr">
        <is>
          <t>Status</t>
        </is>
      </c>
      <c r="Q4" s="14" t="inlineStr">
        <is>
          <t>Included In Latest Financial Plan</t>
        </is>
      </c>
    </row>
    <row r="5">
      <c r="A5" s="13" t="inlineStr">
        <is>
          <t>DEAL-4001</t>
        </is>
      </c>
      <c r="B5" s="13" t="inlineStr">
        <is>
          <t>Region A Infusion Tender Defense</t>
        </is>
      </c>
      <c r="C5" s="13" t="inlineStr">
        <is>
          <t>HelioRx Distribution</t>
        </is>
      </c>
      <c r="D5" s="13" t="inlineStr">
        <is>
          <t>Northstar Health Systems</t>
        </is>
      </c>
      <c r="E5" s="16">
        <f>SUMIF('Line Items'!$A$5:$A$24,A5,'Line Items'!$L$5:$L$24)</f>
        <v/>
      </c>
      <c r="F5" s="16">
        <f>SUMIF('Line Items'!$A$5:$A$24,A5,'Line Items'!$M$5:$M$24)</f>
        <v/>
      </c>
      <c r="G5" s="16">
        <f>E5-F5</f>
        <v/>
      </c>
      <c r="H5" s="17">
        <f>IF(E5=0,0,G5/E5)</f>
        <v/>
      </c>
      <c r="I5" s="16">
        <f>F5-SUMPRODUCT(('Line Items'!$A$5:$A$24=A5)*'Line Items'!$E$5:$E$24*'Line Items'!$K$5:$K$24)</f>
        <v/>
      </c>
      <c r="J5" s="17">
        <f>IF(F5=0,0,I5/F5)</f>
        <v/>
      </c>
      <c r="K5" s="13" t="inlineStr">
        <is>
          <t>High</t>
        </is>
      </c>
      <c r="L5" s="20" t="inlineStr">
        <is>
          <t>Competitor price pressure</t>
        </is>
      </c>
      <c r="M5" t="n">
        <v>5</v>
      </c>
      <c r="N5" s="20" t="inlineStr">
        <is>
          <t>Sales Manager → Pricing Governance Owner → Market Access Director → Finance Director → General Manager</t>
        </is>
      </c>
      <c r="O5" s="20" t="inlineStr">
        <is>
          <t>Escalate to General Manager</t>
        </is>
      </c>
      <c r="P5" t="inlineStr">
        <is>
          <t>Submitted</t>
        </is>
      </c>
      <c r="Q5" t="inlineStr">
        <is>
          <t>Yes</t>
        </is>
      </c>
    </row>
    <row r="6">
      <c r="A6" s="13" t="inlineStr">
        <is>
          <t>DEAL-4002</t>
        </is>
      </c>
      <c r="B6" s="13" t="inlineStr">
        <is>
          <t>Retail Chain Conversion Program</t>
        </is>
      </c>
      <c r="C6" s="13" t="inlineStr">
        <is>
          <t>Meridian Specialty Pharmacy</t>
        </is>
      </c>
      <c r="D6" s="13" t="inlineStr">
        <is>
          <t>Meridian Specialty Pharmacy</t>
        </is>
      </c>
      <c r="E6" s="16">
        <f>SUMIF('Line Items'!$A$5:$A$24,A6,'Line Items'!$L$5:$L$24)</f>
        <v/>
      </c>
      <c r="F6" s="16">
        <f>SUMIF('Line Items'!$A$5:$A$24,A6,'Line Items'!$M$5:$M$24)</f>
        <v/>
      </c>
      <c r="G6" s="16">
        <f>E6-F6</f>
        <v/>
      </c>
      <c r="H6" s="17">
        <f>IF(E6=0,0,G6/E6)</f>
        <v/>
      </c>
      <c r="I6" s="16">
        <f>F6-SUMPRODUCT(('Line Items'!$A$5:$A$24=A6)*'Line Items'!$E$5:$E$24*'Line Items'!$K$5:$K$24)</f>
        <v/>
      </c>
      <c r="J6" s="17">
        <f>IF(F6=0,0,I6/F6)</f>
        <v/>
      </c>
      <c r="K6" s="13" t="inlineStr">
        <is>
          <t>Medium</t>
        </is>
      </c>
      <c r="L6" s="20" t="inlineStr">
        <is>
          <t>New account acquisition</t>
        </is>
      </c>
      <c r="M6" t="n">
        <v>1</v>
      </c>
      <c r="N6" s="20" t="inlineStr">
        <is>
          <t>Sales Manager → Pricing Governance Owner → Market Access Director → Finance Director → Supply Chain Manager</t>
        </is>
      </c>
      <c r="O6" s="20" t="inlineStr">
        <is>
          <t>Request Revision</t>
        </is>
      </c>
      <c r="P6" t="inlineStr">
        <is>
          <t>Submitted</t>
        </is>
      </c>
      <c r="Q6" t="inlineStr">
        <is>
          <t>Yes</t>
        </is>
      </c>
    </row>
    <row r="7">
      <c r="A7" s="13" t="inlineStr">
        <is>
          <t>DEAL-4003</t>
        </is>
      </c>
      <c r="B7" s="13" t="inlineStr">
        <is>
          <t>National Buying Group Renewal</t>
        </is>
      </c>
      <c r="C7" s="13" t="inlineStr">
        <is>
          <t>Apex National GPO</t>
        </is>
      </c>
      <c r="D7" s="13" t="inlineStr">
        <is>
          <t>Apex National GPO</t>
        </is>
      </c>
      <c r="E7" s="16">
        <f>SUMIF('Line Items'!$A$5:$A$24,A7,'Line Items'!$L$5:$L$24)</f>
        <v/>
      </c>
      <c r="F7" s="16">
        <f>SUMIF('Line Items'!$A$5:$A$24,A7,'Line Items'!$M$5:$M$24)</f>
        <v/>
      </c>
      <c r="G7" s="16">
        <f>E7-F7</f>
        <v/>
      </c>
      <c r="H7" s="17">
        <f>IF(E7=0,0,G7/E7)</f>
        <v/>
      </c>
      <c r="I7" s="16">
        <f>F7-SUMPRODUCT(('Line Items'!$A$5:$A$24=A7)*'Line Items'!$E$5:$E$24*'Line Items'!$K$5:$K$24)</f>
        <v/>
      </c>
      <c r="J7" s="17">
        <f>IF(F7=0,0,I7/F7)</f>
        <v/>
      </c>
      <c r="K7" s="13" t="inlineStr">
        <is>
          <t>High</t>
        </is>
      </c>
      <c r="L7" s="20" t="inlineStr">
        <is>
          <t>Incumbent defense</t>
        </is>
      </c>
      <c r="M7" t="n">
        <v>5</v>
      </c>
      <c r="N7" s="20" t="inlineStr">
        <is>
          <t>Sales Manager → Pricing Governance Owner → Market Access Director → Finance Director → Supply Chain Manager → General Manager</t>
        </is>
      </c>
      <c r="O7" s="20" t="inlineStr">
        <is>
          <t>Escalate to General Manager</t>
        </is>
      </c>
      <c r="P7" t="inlineStr">
        <is>
          <t>Submitted</t>
        </is>
      </c>
      <c r="Q7" t="inlineStr">
        <is>
          <t>Yes</t>
        </is>
      </c>
    </row>
    <row r="8">
      <c r="A8" s="13" t="inlineStr">
        <is>
          <t>DEAL-4004</t>
        </is>
      </c>
      <c r="B8" s="13" t="inlineStr">
        <is>
          <t>Region B Launch Stocking Offer</t>
        </is>
      </c>
      <c r="C8" s="13" t="inlineStr">
        <is>
          <t>HelioRx Distribution</t>
        </is>
      </c>
      <c r="D8" s="13" t="inlineStr">
        <is>
          <t>Orion Hospital Trust</t>
        </is>
      </c>
      <c r="E8" s="16">
        <f>SUMIF('Line Items'!$A$5:$A$24,A8,'Line Items'!$L$5:$L$24)</f>
        <v/>
      </c>
      <c r="F8" s="16">
        <f>SUMIF('Line Items'!$A$5:$A$24,A8,'Line Items'!$M$5:$M$24)</f>
        <v/>
      </c>
      <c r="G8" s="16">
        <f>E8-F8</f>
        <v/>
      </c>
      <c r="H8" s="17">
        <f>IF(E8=0,0,G8/E8)</f>
        <v/>
      </c>
      <c r="I8" s="16">
        <f>F8-SUMPRODUCT(('Line Items'!$A$5:$A$24=A8)*'Line Items'!$E$5:$E$24*'Line Items'!$K$5:$K$24)</f>
        <v/>
      </c>
      <c r="J8" s="17">
        <f>IF(F8=0,0,I8/F8)</f>
        <v/>
      </c>
      <c r="K8" s="13" t="inlineStr">
        <is>
          <t>Medium</t>
        </is>
      </c>
      <c r="L8" s="20" t="inlineStr">
        <is>
          <t>New account acquisition</t>
        </is>
      </c>
      <c r="M8" t="n">
        <v>1</v>
      </c>
      <c r="N8" s="20" t="inlineStr">
        <is>
          <t>Sales Manager → Pricing Governance Owner → Market Access Director → Finance Director → General Manager</t>
        </is>
      </c>
      <c r="O8" s="20" t="inlineStr">
        <is>
          <t>Reject - Below Margin Floor</t>
        </is>
      </c>
      <c r="P8" t="inlineStr">
        <is>
          <t>Submitted</t>
        </is>
      </c>
      <c r="Q8" t="inlineStr">
        <is>
          <t>No</t>
        </is>
      </c>
    </row>
    <row r="9">
      <c r="A9" s="13" t="inlineStr">
        <is>
          <t>DEAL-4005</t>
        </is>
      </c>
      <c r="B9" s="13" t="inlineStr">
        <is>
          <t>Institution Pilot Access Package</t>
        </is>
      </c>
      <c r="C9" s="13" t="inlineStr">
        <is>
          <t>Summit Oncology Clinics</t>
        </is>
      </c>
      <c r="D9" s="13" t="inlineStr">
        <is>
          <t>Summit Oncology Clinics</t>
        </is>
      </c>
      <c r="E9" s="16">
        <f>SUMIF('Line Items'!$A$5:$A$24,A9,'Line Items'!$L$5:$L$24)</f>
        <v/>
      </c>
      <c r="F9" s="16">
        <f>SUMIF('Line Items'!$A$5:$A$24,A9,'Line Items'!$M$5:$M$24)</f>
        <v/>
      </c>
      <c r="G9" s="16">
        <f>E9-F9</f>
        <v/>
      </c>
      <c r="H9" s="17">
        <f>IF(E9=0,0,G9/E9)</f>
        <v/>
      </c>
      <c r="I9" s="16">
        <f>F9-SUMPRODUCT(('Line Items'!$A$5:$A$24=A9)*'Line Items'!$E$5:$E$24*'Line Items'!$K$5:$K$24)</f>
        <v/>
      </c>
      <c r="J9" s="17">
        <f>IF(F9=0,0,I9/F9)</f>
        <v/>
      </c>
      <c r="K9" s="13" t="inlineStr">
        <is>
          <t>Low</t>
        </is>
      </c>
      <c r="L9" s="20" t="inlineStr">
        <is>
          <t>New account acquisition</t>
        </is>
      </c>
      <c r="M9" t="n">
        <v>0</v>
      </c>
      <c r="N9" s="20" t="inlineStr">
        <is>
          <t>Sales Manager</t>
        </is>
      </c>
      <c r="O9" s="20" t="inlineStr">
        <is>
          <t>Approve</t>
        </is>
      </c>
      <c r="P9" t="inlineStr">
        <is>
          <t>Submitted</t>
        </is>
      </c>
      <c r="Q9" t="inlineStr">
        <is>
          <t>Yes</t>
        </is>
      </c>
    </row>
    <row r="10">
      <c r="A10" s="13" t="inlineStr">
        <is>
          <t>DEAL-4006</t>
        </is>
      </c>
      <c r="B10" s="13" t="inlineStr">
        <is>
          <t>Corporate Access Renewal Defense</t>
        </is>
      </c>
      <c r="C10" s="13" t="inlineStr">
        <is>
          <t>Cityline Payer Alliance</t>
        </is>
      </c>
      <c r="D10" s="13" t="inlineStr">
        <is>
          <t>Cityline Payer Alliance</t>
        </is>
      </c>
      <c r="E10" s="16">
        <f>SUMIF('Line Items'!$A$5:$A$24,A10,'Line Items'!$L$5:$L$24)</f>
        <v/>
      </c>
      <c r="F10" s="16">
        <f>SUMIF('Line Items'!$A$5:$A$24,A10,'Line Items'!$M$5:$M$24)</f>
        <v/>
      </c>
      <c r="G10" s="16">
        <f>E10-F10</f>
        <v/>
      </c>
      <c r="H10" s="17">
        <f>IF(E10=0,0,G10/E10)</f>
        <v/>
      </c>
      <c r="I10" s="16">
        <f>F10-SUMPRODUCT(('Line Items'!$A$5:$A$24=A10)*'Line Items'!$E$5:$E$24*'Line Items'!$K$5:$K$24)</f>
        <v/>
      </c>
      <c r="J10" s="17">
        <f>IF(F10=0,0,I10/F10)</f>
        <v/>
      </c>
      <c r="K10" s="13" t="inlineStr">
        <is>
          <t>High</t>
        </is>
      </c>
      <c r="L10" s="20" t="inlineStr">
        <is>
          <t>Incumbent defense</t>
        </is>
      </c>
      <c r="M10" t="n">
        <v>3</v>
      </c>
      <c r="N10" s="20" t="inlineStr">
        <is>
          <t>Sales Manager → Pricing Governance Owner → Market Access Director → Finance Director → Supply Chain Manager → General Manager</t>
        </is>
      </c>
      <c r="O10" s="20" t="inlineStr">
        <is>
          <t>Reject - Below Margin Floor</t>
        </is>
      </c>
      <c r="P10" t="inlineStr">
        <is>
          <t>Submitted</t>
        </is>
      </c>
      <c r="Q10" t="inlineStr">
        <is>
          <t>Yes</t>
        </is>
      </c>
    </row>
    <row r="11">
      <c r="A11" s="13" t="inlineStr">
        <is>
          <t>DEAL-4007</t>
        </is>
      </c>
      <c r="B11" s="13" t="inlineStr">
        <is>
          <t>Region C Public Tender Bid</t>
        </is>
      </c>
      <c r="C11" s="13" t="inlineStr">
        <is>
          <t>Crescent Public Tender Authority</t>
        </is>
      </c>
      <c r="D11" s="13" t="inlineStr">
        <is>
          <t>Crescent Public Tender Authority</t>
        </is>
      </c>
      <c r="E11" s="16">
        <f>SUMIF('Line Items'!$A$5:$A$24,A11,'Line Items'!$L$5:$L$24)</f>
        <v/>
      </c>
      <c r="F11" s="16">
        <f>SUMIF('Line Items'!$A$5:$A$24,A11,'Line Items'!$M$5:$M$24)</f>
        <v/>
      </c>
      <c r="G11" s="16">
        <f>E11-F11</f>
        <v/>
      </c>
      <c r="H11" s="17">
        <f>IF(E11=0,0,G11/E11)</f>
        <v/>
      </c>
      <c r="I11" s="16">
        <f>F11-SUMPRODUCT(('Line Items'!$A$5:$A$24=A11)*'Line Items'!$E$5:$E$24*'Line Items'!$K$5:$K$24)</f>
        <v/>
      </c>
      <c r="J11" s="17">
        <f>IF(F11=0,0,I11/F11)</f>
        <v/>
      </c>
      <c r="K11" s="13" t="inlineStr">
        <is>
          <t>Critical</t>
        </is>
      </c>
      <c r="L11" s="20" t="inlineStr">
        <is>
          <t>Public tender</t>
        </is>
      </c>
      <c r="M11" t="n">
        <v>7</v>
      </c>
      <c r="N11" s="20" t="inlineStr">
        <is>
          <t>Sales Manager → Pricing Governance Owner → Market Access Director → Finance Director → Supply Chain Manager → General Manager</t>
        </is>
      </c>
      <c r="O11" s="20" t="inlineStr">
        <is>
          <t>Reject - Below Margin Floor</t>
        </is>
      </c>
      <c r="P11" t="inlineStr">
        <is>
          <t>Submitted</t>
        </is>
      </c>
      <c r="Q11" t="inlineStr">
        <is>
          <t>Yes</t>
        </is>
      </c>
    </row>
    <row r="12">
      <c r="A12" s="13" t="inlineStr">
        <is>
          <t>DEAL-4008</t>
        </is>
      </c>
      <c r="B12" s="13" t="inlineStr">
        <is>
          <t>Institution Diagnostic Framework Launch</t>
        </is>
      </c>
      <c r="C12" s="13" t="inlineStr">
        <is>
          <t>Sterling Specialty Distribution</t>
        </is>
      </c>
      <c r="D12" s="13" t="inlineStr">
        <is>
          <t>Atlas Hospital Network</t>
        </is>
      </c>
      <c r="E12" s="16">
        <f>SUMIF('Line Items'!$A$5:$A$24,A12,'Line Items'!$L$5:$L$24)</f>
        <v/>
      </c>
      <c r="F12" s="16">
        <f>SUMIF('Line Items'!$A$5:$A$24,A12,'Line Items'!$M$5:$M$24)</f>
        <v/>
      </c>
      <c r="G12" s="16">
        <f>E12-F12</f>
        <v/>
      </c>
      <c r="H12" s="17">
        <f>IF(E12=0,0,G12/E12)</f>
        <v/>
      </c>
      <c r="I12" s="16">
        <f>F12-SUMPRODUCT(('Line Items'!$A$5:$A$24=A12)*'Line Items'!$E$5:$E$24*'Line Items'!$K$5:$K$24)</f>
        <v/>
      </c>
      <c r="J12" s="17">
        <f>IF(F12=0,0,I12/F12)</f>
        <v/>
      </c>
      <c r="K12" s="13" t="inlineStr">
        <is>
          <t>Medium</t>
        </is>
      </c>
      <c r="L12" s="20" t="inlineStr">
        <is>
          <t>New account acquisition</t>
        </is>
      </c>
      <c r="M12" t="n">
        <v>0</v>
      </c>
      <c r="N12" s="20" t="inlineStr">
        <is>
          <t>Sales Manager → Pricing Governance Owner → Market Access Director → Finance Director → General Manager</t>
        </is>
      </c>
      <c r="O12" s="20" t="inlineStr">
        <is>
          <t>Request Revision</t>
        </is>
      </c>
      <c r="P12" t="inlineStr">
        <is>
          <t>Submitted</t>
        </is>
      </c>
      <c r="Q12" t="inlineStr">
        <is>
          <t>No</t>
        </is>
      </c>
    </row>
    <row r="13">
      <c r="A13" s="13" t="inlineStr">
        <is>
          <t>DEAL-4009</t>
        </is>
      </c>
      <c r="B13" s="13" t="inlineStr">
        <is>
          <t>Corporate Immunology Competitive Defense</t>
        </is>
      </c>
      <c r="C13" s="13" t="inlineStr">
        <is>
          <t>BluePeak Payer Coalition</t>
        </is>
      </c>
      <c r="D13" s="13" t="inlineStr">
        <is>
          <t>BluePeak Payer Coalition</t>
        </is>
      </c>
      <c r="E13" s="16">
        <f>SUMIF('Line Items'!$A$5:$A$24,A13,'Line Items'!$L$5:$L$24)</f>
        <v/>
      </c>
      <c r="F13" s="16">
        <f>SUMIF('Line Items'!$A$5:$A$24,A13,'Line Items'!$M$5:$M$24)</f>
        <v/>
      </c>
      <c r="G13" s="16">
        <f>E13-F13</f>
        <v/>
      </c>
      <c r="H13" s="17">
        <f>IF(E13=0,0,G13/E13)</f>
        <v/>
      </c>
      <c r="I13" s="16">
        <f>F13-SUMPRODUCT(('Line Items'!$A$5:$A$24=A13)*'Line Items'!$E$5:$E$24*'Line Items'!$K$5:$K$24)</f>
        <v/>
      </c>
      <c r="J13" s="17">
        <f>IF(F13=0,0,I13/F13)</f>
        <v/>
      </c>
      <c r="K13" s="13" t="inlineStr">
        <is>
          <t>High</t>
        </is>
      </c>
      <c r="L13" s="20" t="inlineStr">
        <is>
          <t>Competitor price pressure</t>
        </is>
      </c>
      <c r="M13" t="n">
        <v>5</v>
      </c>
      <c r="N13" s="20" t="inlineStr">
        <is>
          <t>Sales Manager → Pricing Governance Owner → Market Access Director → Finance Director → Supply Chain Manager → General Manager</t>
        </is>
      </c>
      <c r="O13" s="20" t="inlineStr">
        <is>
          <t>Escalate to General Manager</t>
        </is>
      </c>
      <c r="P13" t="inlineStr">
        <is>
          <t>Submitted</t>
        </is>
      </c>
      <c r="Q13" t="inlineStr">
        <is>
          <t>Yes</t>
        </is>
      </c>
    </row>
    <row r="14">
      <c r="A14" s="13" t="inlineStr">
        <is>
          <t>DEAL-4010</t>
        </is>
      </c>
      <c r="B14" s="13" t="inlineStr">
        <is>
          <t>Institution Inventory Mitigation Offer</t>
        </is>
      </c>
      <c r="C14" s="13" t="inlineStr">
        <is>
          <t>Metro Infusion Partners</t>
        </is>
      </c>
      <c r="D14" s="13" t="inlineStr">
        <is>
          <t>Metro Infusion Partners</t>
        </is>
      </c>
      <c r="E14" s="16">
        <f>SUMIF('Line Items'!$A$5:$A$24,A14,'Line Items'!$L$5:$L$24)</f>
        <v/>
      </c>
      <c r="F14" s="16">
        <f>SUMIF('Line Items'!$A$5:$A$24,A14,'Line Items'!$M$5:$M$24)</f>
        <v/>
      </c>
      <c r="G14" s="16">
        <f>E14-F14</f>
        <v/>
      </c>
      <c r="H14" s="17">
        <f>IF(E14=0,0,G14/E14)</f>
        <v/>
      </c>
      <c r="I14" s="16">
        <f>F14-SUMPRODUCT(('Line Items'!$A$5:$A$24=A14)*'Line Items'!$E$5:$E$24*'Line Items'!$K$5:$K$24)</f>
        <v/>
      </c>
      <c r="J14" s="17">
        <f>IF(F14=0,0,I14/F14)</f>
        <v/>
      </c>
      <c r="K14" s="13" t="inlineStr">
        <is>
          <t>High</t>
        </is>
      </c>
      <c r="L14" s="20" t="inlineStr">
        <is>
          <t>Inventory / expiry mitigation</t>
        </is>
      </c>
      <c r="M14" t="n">
        <v>0</v>
      </c>
      <c r="N14" s="20" t="inlineStr">
        <is>
          <t>Sales Manager → Pricing Governance Owner → Market Access Director → Finance Director → General Manager</t>
        </is>
      </c>
      <c r="O14" s="20" t="inlineStr">
        <is>
          <t>Reject - Below Margin Floor</t>
        </is>
      </c>
      <c r="P14" t="inlineStr">
        <is>
          <t>Submitted</t>
        </is>
      </c>
      <c r="Q14" t="inlineStr">
        <is>
          <t>No</t>
        </is>
      </c>
    </row>
  </sheetData>
  <autoFilter ref="A4:Q14"/>
  <mergeCells count="2">
    <mergeCell ref="A2:K2"/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2026-06-16T17:01:11Z</dcterms:created>
  <dcterms:modified xsi:type="dcterms:W3CDTF">2026-06-17T11:45:07Z</dcterms:modified>
</cp:coreProperties>
</file>