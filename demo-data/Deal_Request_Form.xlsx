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ai-process-excellence\demo-data\"/>
    </mc:Choice>
  </mc:AlternateContent>
  <xr:revisionPtr revIDLastSave="0" documentId="8_{F35979A3-1920-40F0-BFC2-D9C8D99A26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al Request Form" sheetId="1" r:id="rId1"/>
    <sheet name="Validation Lists" sheetId="2" r:id="rId2"/>
    <sheet name="Reference Data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E15" i="3"/>
  <c r="E14" i="3"/>
  <c r="E13" i="3"/>
  <c r="E12" i="3"/>
  <c r="E11" i="3"/>
  <c r="E10" i="3"/>
  <c r="E9" i="3"/>
  <c r="E8" i="3"/>
  <c r="E7" i="3"/>
  <c r="E6" i="3"/>
  <c r="E5" i="3"/>
  <c r="E4" i="3"/>
  <c r="E3" i="3"/>
  <c r="E32" i="1"/>
  <c r="B32" i="1"/>
  <c r="I27" i="1"/>
  <c r="J27" i="1" s="1"/>
  <c r="G27" i="1"/>
  <c r="F27" i="1"/>
  <c r="E27" i="1"/>
  <c r="C27" i="1"/>
  <c r="A27" i="1"/>
  <c r="G26" i="1"/>
  <c r="F26" i="1"/>
  <c r="E26" i="1"/>
  <c r="I26" i="1" s="1"/>
  <c r="J26" i="1" s="1"/>
  <c r="C26" i="1"/>
  <c r="A26" i="1"/>
  <c r="G25" i="1"/>
  <c r="F25" i="1"/>
  <c r="E25" i="1"/>
  <c r="I25" i="1" s="1"/>
  <c r="J25" i="1" s="1"/>
  <c r="C25" i="1"/>
  <c r="A25" i="1"/>
  <c r="G24" i="1"/>
  <c r="F24" i="1"/>
  <c r="E24" i="1"/>
  <c r="I24" i="1" s="1"/>
  <c r="J24" i="1" s="1"/>
  <c r="C24" i="1"/>
  <c r="A24" i="1"/>
  <c r="I23" i="1"/>
  <c r="J23" i="1" s="1"/>
  <c r="G23" i="1"/>
  <c r="F23" i="1"/>
  <c r="E23" i="1"/>
  <c r="C23" i="1"/>
  <c r="A23" i="1"/>
  <c r="G22" i="1"/>
  <c r="F22" i="1"/>
  <c r="E22" i="1"/>
  <c r="I22" i="1" s="1"/>
  <c r="J22" i="1" s="1"/>
  <c r="C22" i="1"/>
  <c r="A22" i="1"/>
  <c r="G21" i="1"/>
  <c r="F21" i="1"/>
  <c r="E21" i="1"/>
  <c r="I21" i="1" s="1"/>
  <c r="J21" i="1" s="1"/>
  <c r="C21" i="1"/>
  <c r="A21" i="1"/>
  <c r="G20" i="1"/>
  <c r="F20" i="1"/>
  <c r="E20" i="1"/>
  <c r="I20" i="1" s="1"/>
  <c r="J20" i="1" s="1"/>
  <c r="C20" i="1"/>
  <c r="A20" i="1"/>
  <c r="G19" i="1"/>
  <c r="F19" i="1"/>
  <c r="E19" i="1"/>
  <c r="I19" i="1" s="1"/>
  <c r="J19" i="1" s="1"/>
  <c r="C19" i="1"/>
  <c r="A19" i="1"/>
  <c r="G18" i="1"/>
  <c r="F18" i="1"/>
  <c r="E18" i="1"/>
  <c r="B30" i="1" s="1"/>
  <c r="C18" i="1"/>
  <c r="A18" i="1"/>
  <c r="I18" i="1" l="1"/>
  <c r="J18" i="1" s="1"/>
  <c r="E30" i="1" s="1"/>
  <c r="E31" i="1" l="1"/>
  <c r="H31" i="1" s="1"/>
  <c r="H30" i="1"/>
  <c r="B31" i="1" s="1"/>
</calcChain>
</file>

<file path=xl/sharedStrings.xml><?xml version="1.0" encoding="utf-8"?>
<sst xmlns="http://schemas.openxmlformats.org/spreadsheetml/2006/main" count="147" uniqueCount="130">
  <si>
    <t>Commercial Deal Request Form</t>
  </si>
  <si>
    <t>Fill only yellow user-input fields. Requested Total Discount % is the complete customer-facing discount from Gross Price. Base Rebate is reference data and is already reflected in Gross Price.</t>
  </si>
  <si>
    <t>Deal Header</t>
  </si>
  <si>
    <t>Deal Title</t>
  </si>
  <si>
    <t>Northstar Commercial Agreement</t>
  </si>
  <si>
    <t>Deal Type</t>
  </si>
  <si>
    <t>Contract Renewal</t>
  </si>
  <si>
    <t>Status</t>
  </si>
  <si>
    <t>Draft</t>
  </si>
  <si>
    <t>Sold-To Customer</t>
  </si>
  <si>
    <t>Northstar Health Systems</t>
  </si>
  <si>
    <t>End Account</t>
  </si>
  <si>
    <t>Commercial Decision Deadline</t>
  </si>
  <si>
    <t>Payment Terms</t>
  </si>
  <si>
    <t>Net 60</t>
  </si>
  <si>
    <t>Contract Duration Months</t>
  </si>
  <si>
    <t>Billing Frequency</t>
  </si>
  <si>
    <t>Annual</t>
  </si>
  <si>
    <t>Special Terms Requested</t>
  </si>
  <si>
    <t>No</t>
  </si>
  <si>
    <t>Sales Owner</t>
  </si>
  <si>
    <t>Maya Chen</t>
  </si>
  <si>
    <t>Sales Manager</t>
  </si>
  <si>
    <t>Jordan Blake</t>
  </si>
  <si>
    <t>Business Justification (Mandatory)</t>
  </si>
  <si>
    <t>Contract renewal protects strategic volume following competitor entry and supports a commercially sustainable account relationship.</t>
  </si>
  <si>
    <t>Special Terms Description (Optional)</t>
  </si>
  <si>
    <t>Line Items</t>
  </si>
  <si>
    <t>Line #</t>
  </si>
  <si>
    <t>SKU</t>
  </si>
  <si>
    <t>Product Name</t>
  </si>
  <si>
    <t>Quantity</t>
  </si>
  <si>
    <t>Gross Price</t>
  </si>
  <si>
    <t>Base Rebate % (Reference)</t>
  </si>
  <si>
    <t>Current Net Price</t>
  </si>
  <si>
    <t>Requested Total Discount %</t>
  </si>
  <si>
    <t>Requested Net Price</t>
  </si>
  <si>
    <t>Requested Net Revenue</t>
  </si>
  <si>
    <t>Line Commercial Justification</t>
  </si>
  <si>
    <t>RX-ONC-100</t>
  </si>
  <si>
    <t>Total discount supports renewal defense while preserving committed annual volume.</t>
  </si>
  <si>
    <t>RX-ONC-500</t>
  </si>
  <si>
    <t>Requested total discount reflects competitive pressure and the consolidated contract term.</t>
  </si>
  <si>
    <t>Calculated Summary</t>
  </si>
  <si>
    <t>Gross Revenue</t>
  </si>
  <si>
    <t>Discount Amount</t>
  </si>
  <si>
    <t>Discount %</t>
  </si>
  <si>
    <t>Gross Profit</t>
  </si>
  <si>
    <t>Gross Margin %</t>
  </si>
  <si>
    <t>Line Item Count</t>
  </si>
  <si>
    <t>Submission Readiness</t>
  </si>
  <si>
    <t>Instructions</t>
  </si>
  <si>
    <t>1. Fill only yellow user-input fields.
2. Reference-driven fields are populated from master data.
3. Review the calculated summary before submitting.
4. Business Justification is mandatory; Special Terms Description is optional.</t>
  </si>
  <si>
    <t>Validation Lists</t>
  </si>
  <si>
    <t>Deal Types</t>
  </si>
  <si>
    <t>Statuses</t>
  </si>
  <si>
    <t>Billing Frequencies</t>
  </si>
  <si>
    <t>Yes / No</t>
  </si>
  <si>
    <t>Threat Level</t>
  </si>
  <si>
    <t>New Account / Launch</t>
  </si>
  <si>
    <t>Net 30</t>
  </si>
  <si>
    <t>Yes</t>
  </si>
  <si>
    <t>Low</t>
  </si>
  <si>
    <t>Submitted</t>
  </si>
  <si>
    <t>Net 45</t>
  </si>
  <si>
    <t>Quarterly</t>
  </si>
  <si>
    <t>Medium</t>
  </si>
  <si>
    <t>Tender</t>
  </si>
  <si>
    <t>Changes Requested</t>
  </si>
  <si>
    <t>Monthly</t>
  </si>
  <si>
    <t>High</t>
  </si>
  <si>
    <t>Competitive Defense</t>
  </si>
  <si>
    <t>Approved</t>
  </si>
  <si>
    <t>Net 90</t>
  </si>
  <si>
    <t>Milestone</t>
  </si>
  <si>
    <t>Strategic Exception</t>
  </si>
  <si>
    <t>Rejected</t>
  </si>
  <si>
    <t>Custom</t>
  </si>
  <si>
    <t>Reference Data</t>
  </si>
  <si>
    <t>Base Rebate %</t>
  </si>
  <si>
    <t>Standard Cost</t>
  </si>
  <si>
    <t>Customers</t>
  </si>
  <si>
    <t>Sales Owners</t>
  </si>
  <si>
    <t>Sales Managers</t>
  </si>
  <si>
    <t>Product Alpha</t>
  </si>
  <si>
    <t>Product Beta</t>
  </si>
  <si>
    <t>Meridian Specialty Pharmacy</t>
  </si>
  <si>
    <t>Ethan Brooks</t>
  </si>
  <si>
    <t>BIO-RA-200</t>
  </si>
  <si>
    <t>Product Gamma</t>
  </si>
  <si>
    <t>Apex National GPO</t>
  </si>
  <si>
    <t>RX-CARD-50</t>
  </si>
  <si>
    <t>Product Delta</t>
  </si>
  <si>
    <t>HelioRx Distribution</t>
  </si>
  <si>
    <t>RX-RARE-10</t>
  </si>
  <si>
    <t>Product Epsilon</t>
  </si>
  <si>
    <t>Summit Oncology Clinics</t>
  </si>
  <si>
    <t>DX-COMP-01</t>
  </si>
  <si>
    <t>Product Zeta</t>
  </si>
  <si>
    <t>Cityline Payer Alliance</t>
  </si>
  <si>
    <t>RX-HOSP-20</t>
  </si>
  <si>
    <t>Product Eta</t>
  </si>
  <si>
    <t>Orion Hospital Trust</t>
  </si>
  <si>
    <t>BIO-DERM-80</t>
  </si>
  <si>
    <t>Product Theta</t>
  </si>
  <si>
    <t>Beacon Clinical Research</t>
  </si>
  <si>
    <t>RX-ONC-ORAL</t>
  </si>
  <si>
    <t>Product Iota</t>
  </si>
  <si>
    <t>Crescent Public Tender Authority</t>
  </si>
  <si>
    <t>RX-RARE-INF</t>
  </si>
  <si>
    <t>Product Kappa</t>
  </si>
  <si>
    <t>Valence Integrated Care</t>
  </si>
  <si>
    <t>DX-GENE-02</t>
  </si>
  <si>
    <t>Product Lambda</t>
  </si>
  <si>
    <t>Harbor Specialty Rx</t>
  </si>
  <si>
    <t>SVC-PAT-01</t>
  </si>
  <si>
    <t>Product Mu</t>
  </si>
  <si>
    <t>Union National Payer</t>
  </si>
  <si>
    <t>SVC-START</t>
  </si>
  <si>
    <t>Product Nu</t>
  </si>
  <si>
    <t>Atlas Hospital Network</t>
  </si>
  <si>
    <t>REB-FORM</t>
  </si>
  <si>
    <t>Product Xi</t>
  </si>
  <si>
    <t>NovaCare Oncology</t>
  </si>
  <si>
    <t>Pioneer Medical Group</t>
  </si>
  <si>
    <t>Europa Health Purchasing</t>
  </si>
  <si>
    <t>Redwood Regional IDN</t>
  </si>
  <si>
    <t>Sterling Specialty Distribution</t>
  </si>
  <si>
    <t>BluePeak Payer Coalition</t>
  </si>
  <si>
    <t>Metro Infusion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</si>
</sst>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color rgb="FF1F2937"/>
      <name val="Carlito"/>
    </font>
    <font>
      <sz val="11"/>
      <color rgb="FF334155"/>
      <name val="Carlito"/>
    </font>
  </fonts>
  <fills count="9">
    <fill>
      <patternFill patternType="none"/>
    </fill>
    <fill>
      <patternFill patternType="gray125"/>
    </fill>
    <fill>
      <patternFill patternType="solid">
        <fgColor rgb="FF24557A"/>
      </patternFill>
    </fill>
    <fill>
      <patternFill patternType="solid">
        <fgColor rgb="FFEEF3F7"/>
      </patternFill>
    </fill>
    <fill>
      <patternFill patternType="solid">
        <fgColor rgb="FF147D76"/>
      </patternFill>
    </fill>
    <fill>
      <patternFill patternType="solid">
        <fgColor rgb="FFE8EEF3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5" borderId="0" xfId="0" applyFont="1" applyFill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3" fontId="5" fillId="6" borderId="1" xfId="0" applyNumberFormat="1" applyFont="1" applyFill="1" applyBorder="1" applyAlignment="1">
      <alignment vertical="center" wrapText="1"/>
    </xf>
    <xf numFmtId="4" fontId="5" fillId="7" borderId="0" xfId="0" applyNumberFormat="1" applyFont="1" applyFill="1" applyAlignment="1">
      <alignment vertical="center" wrapText="1"/>
    </xf>
    <xf numFmtId="165" fontId="5" fillId="7" borderId="0" xfId="0" applyNumberFormat="1" applyFont="1" applyFill="1" applyAlignment="1">
      <alignment vertical="center" wrapText="1"/>
    </xf>
    <xf numFmtId="165" fontId="5" fillId="6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5" fillId="6" borderId="1" xfId="0" applyFont="1" applyFill="1" applyBorder="1" applyAlignment="1">
      <alignment vertical="center" wrapText="1"/>
    </xf>
    <xf numFmtId="164" fontId="5" fillId="6" borderId="1" xfId="0" applyNumberFormat="1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0" fillId="0" borderId="0" xfId="0"/>
    <xf numFmtId="0" fontId="5" fillId="7" borderId="0" xfId="0" applyFont="1" applyFill="1" applyAlignment="1">
      <alignment vertical="center" wrapText="1"/>
    </xf>
    <xf numFmtId="0" fontId="6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alRequestLines" displayName="DealRequestLines" ref="A17:K27">
  <tableColumns count="11">
    <tableColumn id="1" xr3:uid="{00000000-0010-0000-0000-000001000000}" name="Line #"/>
    <tableColumn id="2" xr3:uid="{00000000-0010-0000-0000-000002000000}" name="SKU"/>
    <tableColumn id="3" xr3:uid="{00000000-0010-0000-0000-000003000000}" name="Product Name"/>
    <tableColumn id="4" xr3:uid="{00000000-0010-0000-0000-000004000000}" name="Quantity"/>
    <tableColumn id="5" xr3:uid="{00000000-0010-0000-0000-000005000000}" name="Gross Price"/>
    <tableColumn id="6" xr3:uid="{00000000-0010-0000-0000-000006000000}" name="Base Discount %"/>
    <tableColumn id="7" xr3:uid="{00000000-0010-0000-0000-000007000000}" name="Current Net Price"/>
    <tableColumn id="8" xr3:uid="{00000000-0010-0000-0000-000008000000}" name="Requested Additional Discount %"/>
    <tableColumn id="9" xr3:uid="{00000000-0010-0000-0000-000009000000}" name="Requested Net Price"/>
    <tableColumn id="10" xr3:uid="{00000000-0010-0000-0000-00000A000000}" name="Requested Net Revenue"/>
    <tableColumn id="11" xr3:uid="{00000000-0010-0000-0000-00000B000000}" name="Line Commercial Just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lidationLists" displayName="ValidationLists" ref="A3:F8">
  <tableColumns count="6">
    <tableColumn id="1" xr3:uid="{00000000-0010-0000-0100-000001000000}" name="Deal Types"/>
    <tableColumn id="2" xr3:uid="{00000000-0010-0000-0100-000002000000}" name="Statuses"/>
    <tableColumn id="3" xr3:uid="{00000000-0010-0000-0100-000003000000}" name="Payment Terms"/>
    <tableColumn id="4" xr3:uid="{00000000-0010-0000-0100-000004000000}" name="Billing Frequencies"/>
    <tableColumn id="5" xr3:uid="{00000000-0010-0000-0100-000005000000}" name="Yes / No"/>
    <tableColumn id="6" xr3:uid="{00000000-0010-0000-0100-000006000000}" name="Threat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Reference" displayName="ProductReference" ref="A2:F16">
  <tableColumns count="6">
    <tableColumn id="1" xr3:uid="{00000000-0010-0000-0200-000001000000}" name="SKU"/>
    <tableColumn id="2" xr3:uid="{00000000-0010-0000-0200-000002000000}" name="Product Name"/>
    <tableColumn id="3" xr3:uid="{00000000-0010-0000-0200-000003000000}" name="Gross Price"/>
    <tableColumn id="4" xr3:uid="{00000000-0010-0000-0200-000004000000}" name="Base Discount %"/>
    <tableColumn id="5" xr3:uid="{00000000-0010-0000-0200-000005000000}" name="Current Net Price"/>
    <tableColumn id="6" xr3:uid="{00000000-0010-0000-0200-000006000000}" name="Standard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showGridLines="0" tabSelected="1" topLeftCell="A24" workbookViewId="0">
      <selection activeCell="J6" sqref="J6:K6"/>
    </sheetView>
  </sheetViews>
  <sheetFormatPr defaultRowHeight="14.25"/>
  <cols>
    <col min="1" max="2" width="18" customWidth="1"/>
    <col min="3" max="3" width="23" customWidth="1"/>
    <col min="4" max="4" width="12" customWidth="1"/>
    <col min="5" max="5" width="16" customWidth="1"/>
    <col min="6" max="6" width="17" customWidth="1"/>
    <col min="7" max="7" width="18" customWidth="1"/>
    <col min="8" max="8" width="27" customWidth="1"/>
    <col min="9" max="9" width="18" customWidth="1"/>
    <col min="10" max="10" width="22" customWidth="1"/>
    <col min="11" max="11" width="42" customWidth="1"/>
  </cols>
  <sheetData>
    <row r="1" spans="1:11" ht="30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6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1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15">
      <c r="A5" s="1" t="s">
        <v>3</v>
      </c>
      <c r="B5" s="14" t="s">
        <v>4</v>
      </c>
      <c r="C5" s="14"/>
      <c r="D5" s="14"/>
      <c r="E5" s="1" t="s">
        <v>5</v>
      </c>
      <c r="F5" s="14" t="s">
        <v>6</v>
      </c>
      <c r="G5" s="14"/>
      <c r="H5" s="1" t="s">
        <v>7</v>
      </c>
      <c r="I5" s="14" t="s">
        <v>8</v>
      </c>
      <c r="J5" s="14"/>
      <c r="K5" s="14"/>
    </row>
    <row r="6" spans="1:11" ht="30">
      <c r="A6" s="1" t="s">
        <v>9</v>
      </c>
      <c r="B6" s="14" t="s">
        <v>10</v>
      </c>
      <c r="C6" s="14"/>
      <c r="D6" s="14"/>
      <c r="E6" s="1" t="s">
        <v>11</v>
      </c>
      <c r="F6" s="14" t="s">
        <v>10</v>
      </c>
      <c r="G6" s="14"/>
      <c r="H6" s="14"/>
      <c r="I6" s="1" t="s">
        <v>12</v>
      </c>
      <c r="J6" s="15">
        <v>46234</v>
      </c>
      <c r="K6" s="15"/>
    </row>
    <row r="7" spans="1:11" ht="45">
      <c r="A7" s="1" t="s">
        <v>13</v>
      </c>
      <c r="B7" s="14" t="s">
        <v>14</v>
      </c>
      <c r="C7" s="14"/>
      <c r="D7" s="1" t="s">
        <v>15</v>
      </c>
      <c r="E7" s="14">
        <v>24</v>
      </c>
      <c r="F7" s="14"/>
      <c r="G7" s="1" t="s">
        <v>16</v>
      </c>
      <c r="H7" s="14" t="s">
        <v>17</v>
      </c>
      <c r="I7" s="14"/>
      <c r="J7" s="1" t="s">
        <v>18</v>
      </c>
      <c r="K7" s="2" t="s">
        <v>19</v>
      </c>
    </row>
    <row r="8" spans="1:11" ht="15">
      <c r="A8" s="1" t="s">
        <v>20</v>
      </c>
      <c r="B8" s="14" t="s">
        <v>21</v>
      </c>
      <c r="C8" s="14"/>
      <c r="D8" s="14"/>
      <c r="E8" s="1" t="s">
        <v>22</v>
      </c>
      <c r="F8" s="14" t="s">
        <v>23</v>
      </c>
      <c r="G8" s="14"/>
      <c r="H8" s="14"/>
    </row>
    <row r="10" spans="1:11">
      <c r="A10" s="16" t="s">
        <v>24</v>
      </c>
      <c r="B10" s="14" t="s">
        <v>25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>
      <c r="A11" s="17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>
      <c r="A12" s="17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1">
      <c r="A13" s="16" t="s">
        <v>26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>
      <c r="A14" s="17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6" spans="1:11" ht="15">
      <c r="A16" s="13" t="s">
        <v>27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33.950000000000003" customHeight="1">
      <c r="A17" s="8" t="s">
        <v>28</v>
      </c>
      <c r="B17" s="8" t="s">
        <v>29</v>
      </c>
      <c r="C17" s="8" t="s">
        <v>30</v>
      </c>
      <c r="D17" s="8" t="s">
        <v>31</v>
      </c>
      <c r="E17" s="8" t="s">
        <v>32</v>
      </c>
      <c r="F17" s="8" t="s">
        <v>33</v>
      </c>
      <c r="G17" s="8" t="s">
        <v>34</v>
      </c>
      <c r="H17" s="8" t="s">
        <v>35</v>
      </c>
      <c r="I17" s="8" t="s">
        <v>36</v>
      </c>
      <c r="J17" s="8" t="s">
        <v>37</v>
      </c>
      <c r="K17" s="8" t="s">
        <v>38</v>
      </c>
    </row>
    <row r="18" spans="1:11" ht="28.5">
      <c r="A18" s="3">
        <f t="shared" ref="A18:A27" si="0">IF(B18="","",ROW()-17)</f>
        <v>1</v>
      </c>
      <c r="B18" s="2" t="s">
        <v>39</v>
      </c>
      <c r="C18" s="3" t="str">
        <f>IFERROR(VLOOKUP(B18,'Reference Data'!$A$2:$F$15,2,FALSE),"")</f>
        <v>Product Alpha</v>
      </c>
      <c r="D18" s="4">
        <v>100</v>
      </c>
      <c r="E18" s="5">
        <f>IFERROR(VLOOKUP(B18,'Reference Data'!$A$2:$F$15,3,FALSE),"")</f>
        <v>1776</v>
      </c>
      <c r="F18" s="6">
        <f>IFERROR(VLOOKUP(B18,'Reference Data'!$A$2:$F$15,4,FALSE),"")</f>
        <v>0.04</v>
      </c>
      <c r="G18" s="5">
        <f>IFERROR(VLOOKUP(B18,'Reference Data'!$A$2:$F$15,5,FALSE),"")</f>
        <v>1776</v>
      </c>
      <c r="H18" s="7">
        <v>0.09</v>
      </c>
      <c r="I18" s="5">
        <f t="shared" ref="I18:I27" si="1">IF(OR(E18="",H18=""),"",E18*(1-H18))</f>
        <v>1616.16</v>
      </c>
      <c r="J18" s="5">
        <f t="shared" ref="J18:J27" si="2">IF(OR(D18="",I18=""),"",D18*I18)</f>
        <v>161616</v>
      </c>
      <c r="K18" s="2" t="s">
        <v>40</v>
      </c>
    </row>
    <row r="19" spans="1:11" ht="28.5">
      <c r="A19" s="3">
        <f t="shared" si="0"/>
        <v>2</v>
      </c>
      <c r="B19" s="2" t="s">
        <v>41</v>
      </c>
      <c r="C19" s="3" t="str">
        <f>IFERROR(VLOOKUP(B19,'Reference Data'!$A$2:$F$15,2,FALSE),"")</f>
        <v>Product Beta</v>
      </c>
      <c r="D19" s="4">
        <v>25</v>
      </c>
      <c r="E19" s="5">
        <f>IFERROR(VLOOKUP(B19,'Reference Data'!$A$2:$F$15,3,FALSE),"")</f>
        <v>6840</v>
      </c>
      <c r="F19" s="6">
        <f>IFERROR(VLOOKUP(B19,'Reference Data'!$A$2:$F$15,4,FALSE),"")</f>
        <v>0.05</v>
      </c>
      <c r="G19" s="5">
        <f>IFERROR(VLOOKUP(B19,'Reference Data'!$A$2:$F$15,5,FALSE),"")</f>
        <v>6840</v>
      </c>
      <c r="H19" s="7">
        <v>0.13</v>
      </c>
      <c r="I19" s="5">
        <f t="shared" si="1"/>
        <v>5950.8</v>
      </c>
      <c r="J19" s="5">
        <f t="shared" si="2"/>
        <v>148770</v>
      </c>
      <c r="K19" s="2" t="s">
        <v>42</v>
      </c>
    </row>
    <row r="20" spans="1:11">
      <c r="A20" s="3" t="str">
        <f t="shared" si="0"/>
        <v/>
      </c>
      <c r="B20" s="2"/>
      <c r="C20" s="3" t="str">
        <f>IFERROR(VLOOKUP(B20,'Reference Data'!$A$2:$F$15,2,FALSE),"")</f>
        <v/>
      </c>
      <c r="D20" s="4"/>
      <c r="E20" s="5" t="str">
        <f>IFERROR(VLOOKUP(B20,'Reference Data'!$A$2:$F$15,3,FALSE),"")</f>
        <v/>
      </c>
      <c r="F20" s="6" t="str">
        <f>IFERROR(VLOOKUP(B20,'Reference Data'!$A$2:$F$15,4,FALSE),"")</f>
        <v/>
      </c>
      <c r="G20" s="5" t="str">
        <f>IFERROR(VLOOKUP(B20,'Reference Data'!$A$2:$F$15,5,FALSE),"")</f>
        <v/>
      </c>
      <c r="H20" s="7"/>
      <c r="I20" s="5" t="str">
        <f t="shared" si="1"/>
        <v/>
      </c>
      <c r="J20" s="5" t="str">
        <f t="shared" si="2"/>
        <v/>
      </c>
      <c r="K20" s="2"/>
    </row>
    <row r="21" spans="1:11">
      <c r="A21" s="3" t="str">
        <f t="shared" si="0"/>
        <v/>
      </c>
      <c r="B21" s="2"/>
      <c r="C21" s="3" t="str">
        <f>IFERROR(VLOOKUP(B21,'Reference Data'!$A$2:$F$15,2,FALSE),"")</f>
        <v/>
      </c>
      <c r="D21" s="4"/>
      <c r="E21" s="5" t="str">
        <f>IFERROR(VLOOKUP(B21,'Reference Data'!$A$2:$F$15,3,FALSE),"")</f>
        <v/>
      </c>
      <c r="F21" s="6" t="str">
        <f>IFERROR(VLOOKUP(B21,'Reference Data'!$A$2:$F$15,4,FALSE),"")</f>
        <v/>
      </c>
      <c r="G21" s="5" t="str">
        <f>IFERROR(VLOOKUP(B21,'Reference Data'!$A$2:$F$15,5,FALSE),"")</f>
        <v/>
      </c>
      <c r="H21" s="7"/>
      <c r="I21" s="5" t="str">
        <f t="shared" si="1"/>
        <v/>
      </c>
      <c r="J21" s="5" t="str">
        <f t="shared" si="2"/>
        <v/>
      </c>
      <c r="K21" s="2"/>
    </row>
    <row r="22" spans="1:11">
      <c r="A22" s="3" t="str">
        <f t="shared" si="0"/>
        <v/>
      </c>
      <c r="B22" s="2"/>
      <c r="C22" s="3" t="str">
        <f>IFERROR(VLOOKUP(B22,'Reference Data'!$A$2:$F$15,2,FALSE),"")</f>
        <v/>
      </c>
      <c r="D22" s="4"/>
      <c r="E22" s="5" t="str">
        <f>IFERROR(VLOOKUP(B22,'Reference Data'!$A$2:$F$15,3,FALSE),"")</f>
        <v/>
      </c>
      <c r="F22" s="6" t="str">
        <f>IFERROR(VLOOKUP(B22,'Reference Data'!$A$2:$F$15,4,FALSE),"")</f>
        <v/>
      </c>
      <c r="G22" s="5" t="str">
        <f>IFERROR(VLOOKUP(B22,'Reference Data'!$A$2:$F$15,5,FALSE),"")</f>
        <v/>
      </c>
      <c r="H22" s="7"/>
      <c r="I22" s="5" t="str">
        <f t="shared" si="1"/>
        <v/>
      </c>
      <c r="J22" s="5" t="str">
        <f t="shared" si="2"/>
        <v/>
      </c>
      <c r="K22" s="2"/>
    </row>
    <row r="23" spans="1:11">
      <c r="A23" s="3" t="str">
        <f t="shared" si="0"/>
        <v/>
      </c>
      <c r="B23" s="2"/>
      <c r="C23" s="3" t="str">
        <f>IFERROR(VLOOKUP(B23,'Reference Data'!$A$2:$F$15,2,FALSE),"")</f>
        <v/>
      </c>
      <c r="D23" s="4"/>
      <c r="E23" s="5" t="str">
        <f>IFERROR(VLOOKUP(B23,'Reference Data'!$A$2:$F$15,3,FALSE),"")</f>
        <v/>
      </c>
      <c r="F23" s="6" t="str">
        <f>IFERROR(VLOOKUP(B23,'Reference Data'!$A$2:$F$15,4,FALSE),"")</f>
        <v/>
      </c>
      <c r="G23" s="5" t="str">
        <f>IFERROR(VLOOKUP(B23,'Reference Data'!$A$2:$F$15,5,FALSE),"")</f>
        <v/>
      </c>
      <c r="H23" s="7"/>
      <c r="I23" s="5" t="str">
        <f t="shared" si="1"/>
        <v/>
      </c>
      <c r="J23" s="5" t="str">
        <f t="shared" si="2"/>
        <v/>
      </c>
      <c r="K23" s="2"/>
    </row>
    <row r="24" spans="1:11">
      <c r="A24" s="3" t="str">
        <f t="shared" si="0"/>
        <v/>
      </c>
      <c r="B24" s="2"/>
      <c r="C24" s="3" t="str">
        <f>IFERROR(VLOOKUP(B24,'Reference Data'!$A$2:$F$15,2,FALSE),"")</f>
        <v/>
      </c>
      <c r="D24" s="4"/>
      <c r="E24" s="5" t="str">
        <f>IFERROR(VLOOKUP(B24,'Reference Data'!$A$2:$F$15,3,FALSE),"")</f>
        <v/>
      </c>
      <c r="F24" s="6" t="str">
        <f>IFERROR(VLOOKUP(B24,'Reference Data'!$A$2:$F$15,4,FALSE),"")</f>
        <v/>
      </c>
      <c r="G24" s="5" t="str">
        <f>IFERROR(VLOOKUP(B24,'Reference Data'!$A$2:$F$15,5,FALSE),"")</f>
        <v/>
      </c>
      <c r="H24" s="7"/>
      <c r="I24" s="5" t="str">
        <f t="shared" si="1"/>
        <v/>
      </c>
      <c r="J24" s="5" t="str">
        <f t="shared" si="2"/>
        <v/>
      </c>
      <c r="K24" s="2"/>
    </row>
    <row r="25" spans="1:11">
      <c r="A25" s="3" t="str">
        <f t="shared" si="0"/>
        <v/>
      </c>
      <c r="B25" s="2"/>
      <c r="C25" s="3" t="str">
        <f>IFERROR(VLOOKUP(B25,'Reference Data'!$A$2:$F$15,2,FALSE),"")</f>
        <v/>
      </c>
      <c r="D25" s="4"/>
      <c r="E25" s="5" t="str">
        <f>IFERROR(VLOOKUP(B25,'Reference Data'!$A$2:$F$15,3,FALSE),"")</f>
        <v/>
      </c>
      <c r="F25" s="6" t="str">
        <f>IFERROR(VLOOKUP(B25,'Reference Data'!$A$2:$F$15,4,FALSE),"")</f>
        <v/>
      </c>
      <c r="G25" s="5" t="str">
        <f>IFERROR(VLOOKUP(B25,'Reference Data'!$A$2:$F$15,5,FALSE),"")</f>
        <v/>
      </c>
      <c r="H25" s="7"/>
      <c r="I25" s="5" t="str">
        <f t="shared" si="1"/>
        <v/>
      </c>
      <c r="J25" s="5" t="str">
        <f t="shared" si="2"/>
        <v/>
      </c>
      <c r="K25" s="2"/>
    </row>
    <row r="26" spans="1:11">
      <c r="A26" s="3" t="str">
        <f t="shared" si="0"/>
        <v/>
      </c>
      <c r="B26" s="2"/>
      <c r="C26" s="3" t="str">
        <f>IFERROR(VLOOKUP(B26,'Reference Data'!$A$2:$F$15,2,FALSE),"")</f>
        <v/>
      </c>
      <c r="D26" s="4"/>
      <c r="E26" s="5" t="str">
        <f>IFERROR(VLOOKUP(B26,'Reference Data'!$A$2:$F$15,3,FALSE),"")</f>
        <v/>
      </c>
      <c r="F26" s="6" t="str">
        <f>IFERROR(VLOOKUP(B26,'Reference Data'!$A$2:$F$15,4,FALSE),"")</f>
        <v/>
      </c>
      <c r="G26" s="5" t="str">
        <f>IFERROR(VLOOKUP(B26,'Reference Data'!$A$2:$F$15,5,FALSE),"")</f>
        <v/>
      </c>
      <c r="H26" s="7"/>
      <c r="I26" s="5" t="str">
        <f t="shared" si="1"/>
        <v/>
      </c>
      <c r="J26" s="5" t="str">
        <f t="shared" si="2"/>
        <v/>
      </c>
      <c r="K26" s="2"/>
    </row>
    <row r="27" spans="1:11">
      <c r="A27" s="3" t="str">
        <f t="shared" si="0"/>
        <v/>
      </c>
      <c r="B27" s="2"/>
      <c r="C27" s="3" t="str">
        <f>IFERROR(VLOOKUP(B27,'Reference Data'!$A$2:$F$15,2,FALSE),"")</f>
        <v/>
      </c>
      <c r="D27" s="4"/>
      <c r="E27" s="5" t="str">
        <f>IFERROR(VLOOKUP(B27,'Reference Data'!$A$2:$F$15,3,FALSE),"")</f>
        <v/>
      </c>
      <c r="F27" s="6" t="str">
        <f>IFERROR(VLOOKUP(B27,'Reference Data'!$A$2:$F$15,4,FALSE),"")</f>
        <v/>
      </c>
      <c r="G27" s="5" t="str">
        <f>IFERROR(VLOOKUP(B27,'Reference Data'!$A$2:$F$15,5,FALSE),"")</f>
        <v/>
      </c>
      <c r="H27" s="7"/>
      <c r="I27" s="5" t="str">
        <f t="shared" si="1"/>
        <v/>
      </c>
      <c r="J27" s="5" t="str">
        <f t="shared" si="2"/>
        <v/>
      </c>
      <c r="K27" s="2"/>
    </row>
    <row r="29" spans="1:11" ht="15">
      <c r="A29" s="13" t="s">
        <v>43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45">
      <c r="A30" s="1" t="s">
        <v>44</v>
      </c>
      <c r="B30" s="5">
        <f>SUMPRODUCT(D18:D27,E18:E27)</f>
        <v>348600</v>
      </c>
      <c r="D30" s="1" t="s">
        <v>37</v>
      </c>
      <c r="E30" s="5">
        <f>SUM(J18:J27)</f>
        <v>310386</v>
      </c>
      <c r="G30" s="1" t="s">
        <v>45</v>
      </c>
      <c r="H30" s="5">
        <f>B30-E30</f>
        <v>38214</v>
      </c>
    </row>
    <row r="31" spans="1:11" ht="15">
      <c r="A31" s="1" t="s">
        <v>46</v>
      </c>
      <c r="B31" s="6">
        <f>IF(B30=0,0,H30/B30)</f>
        <v>0.10962134251290878</v>
      </c>
      <c r="D31" s="1" t="s">
        <v>47</v>
      </c>
      <c r="E31" s="5">
        <f>E30-(D18*IFERROR(VLOOKUP(B18,'Reference Data'!$A$2:$F$15,6,FALSE),0)+D19*IFERROR(VLOOKUP(B19,'Reference Data'!$A$2:$F$15,6,FALSE),0)+D20*IFERROR(VLOOKUP(B20,'Reference Data'!$A$2:$F$15,6,FALSE),0)+D21*IFERROR(VLOOKUP(B21,'Reference Data'!$A$2:$F$15,6,FALSE),0)+D22*IFERROR(VLOOKUP(B22,'Reference Data'!$A$2:$F$15,6,FALSE),0)+D23*IFERROR(VLOOKUP(B23,'Reference Data'!$A$2:$F$15,6,FALSE),0)+D24*IFERROR(VLOOKUP(B24,'Reference Data'!$A$2:$F$15,6,FALSE),0)+D25*IFERROR(VLOOKUP(B25,'Reference Data'!$A$2:$F$15,6,FALSE),0)+D26*IFERROR(VLOOKUP(B26,'Reference Data'!$A$2:$F$15,6,FALSE),0)+D27*IFERROR(VLOOKUP(B27,'Reference Data'!$A$2:$F$15,6,FALSE),0))</f>
        <v>200886</v>
      </c>
      <c r="G31" s="1" t="s">
        <v>48</v>
      </c>
      <c r="H31" s="6">
        <f>IF(E30=0,0,E31/E30)</f>
        <v>0.64721346967968918</v>
      </c>
    </row>
    <row r="32" spans="1:11" ht="30">
      <c r="A32" s="1" t="s">
        <v>49</v>
      </c>
      <c r="B32" s="3">
        <f>COUNTIF(B18:B27,"&lt;&gt;")</f>
        <v>2</v>
      </c>
      <c r="D32" s="1" t="s">
        <v>50</v>
      </c>
      <c r="E32" s="18" t="str">
        <f>IF(AND(B5&lt;&gt;"",F5&lt;&gt;"",I5&lt;&gt;"",B6&lt;&gt;"",F6&lt;&gt;"",J6&lt;&gt;"",B7&lt;&gt;"",E7&gt;0,H7&lt;&gt;"",K7&lt;&gt;"",B8&lt;&gt;"",F8&lt;&gt;"",B10&lt;&gt;"",COUNTIF(B18:B27,"&lt;&gt;")&gt;0),"Ready to Submit","Incomplete")</f>
        <v>Ready to Submit</v>
      </c>
      <c r="F32" s="17"/>
      <c r="G32" s="17"/>
      <c r="H32" s="17"/>
    </row>
    <row r="35" spans="1:11" ht="15">
      <c r="A35" s="13" t="s">
        <v>51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ht="24" customHeight="1">
      <c r="A36" s="19" t="s">
        <v>52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ht="24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ht="24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</sheetData>
  <mergeCells count="23">
    <mergeCell ref="A16:K16"/>
    <mergeCell ref="A29:K29"/>
    <mergeCell ref="E32:H32"/>
    <mergeCell ref="A35:K35"/>
    <mergeCell ref="A36:K38"/>
    <mergeCell ref="B8:D8"/>
    <mergeCell ref="F8:H8"/>
    <mergeCell ref="A10:A12"/>
    <mergeCell ref="B10:K12"/>
    <mergeCell ref="A13:A14"/>
    <mergeCell ref="B13:K14"/>
    <mergeCell ref="B6:D6"/>
    <mergeCell ref="F6:H6"/>
    <mergeCell ref="J6:K6"/>
    <mergeCell ref="B7:C7"/>
    <mergeCell ref="E7:F7"/>
    <mergeCell ref="H7:I7"/>
    <mergeCell ref="A1:K1"/>
    <mergeCell ref="A2:K2"/>
    <mergeCell ref="A4:K4"/>
    <mergeCell ref="B5:D5"/>
    <mergeCell ref="F5:G5"/>
    <mergeCell ref="I5:K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00000000-0002-0000-0000-000000000000}">
          <x14:formula1>
            <xm:f>'Validation Lists'!$A$4:$A$8</xm:f>
          </x14:formula1>
          <xm:sqref>F5:G5</xm:sqref>
        </x14:dataValidation>
        <x14:dataValidation type="list" xr:uid="{00000000-0002-0000-0000-000001000000}">
          <x14:formula1>
            <xm:f>'Validation Lists'!$B$4:$B$8</xm:f>
          </x14:formula1>
          <xm:sqref>I5:K5</xm:sqref>
        </x14:dataValidation>
        <x14:dataValidation type="list" xr:uid="{00000000-0002-0000-0000-000002000000}">
          <x14:formula1>
            <xm:f>'Reference Data'!$H$3:$H$22</xm:f>
          </x14:formula1>
          <xm:sqref>B6:D6 F6:H6</xm:sqref>
        </x14:dataValidation>
        <x14:dataValidation type="list" xr:uid="{00000000-0002-0000-0000-000004000000}">
          <x14:formula1>
            <xm:f>'Validation Lists'!$C$4:$C$8</xm:f>
          </x14:formula1>
          <xm:sqref>B7:C7</xm:sqref>
        </x14:dataValidation>
        <x14:dataValidation type="list" xr:uid="{00000000-0002-0000-0000-000005000000}">
          <x14:formula1>
            <xm:f>'Validation Lists'!$D$4:$D$7</xm:f>
          </x14:formula1>
          <xm:sqref>H7:I7</xm:sqref>
        </x14:dataValidation>
        <x14:dataValidation type="list" xr:uid="{00000000-0002-0000-0000-000006000000}">
          <x14:formula1>
            <xm:f>'Validation Lists'!$E$4:$E$5</xm:f>
          </x14:formula1>
          <xm:sqref>K7</xm:sqref>
        </x14:dataValidation>
        <x14:dataValidation type="list" xr:uid="{00000000-0002-0000-0000-000007000000}">
          <x14:formula1>
            <xm:f>'Reference Data'!$I$3:$I$4</xm:f>
          </x14:formula1>
          <xm:sqref>B8:D8</xm:sqref>
        </x14:dataValidation>
        <x14:dataValidation type="list" xr:uid="{00000000-0002-0000-0000-000008000000}">
          <x14:formula1>
            <xm:f>'Reference Data'!$J$3:$J$3</xm:f>
          </x14:formula1>
          <xm:sqref>F8:H8</xm:sqref>
        </x14:dataValidation>
        <x14:dataValidation type="list" xr:uid="{00000000-0002-0000-0000-000009000000}">
          <x14:formula1>
            <xm:f>'Reference Data'!$A$3:$A$16</xm:f>
          </x14:formula1>
          <xm:sqref>B18:B27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>
      <selection activeCell="F4" sqref="F4:F6"/>
    </sheetView>
  </sheetViews>
  <sheetFormatPr defaultRowHeight="14.25"/>
  <cols>
    <col min="1" max="6" width="26" customWidth="1"/>
  </cols>
  <sheetData>
    <row r="1" spans="1:6" ht="20.25">
      <c r="A1" s="11" t="s">
        <v>53</v>
      </c>
      <c r="B1" s="11"/>
      <c r="C1" s="11"/>
      <c r="D1" s="11"/>
      <c r="E1" s="11"/>
      <c r="F1" s="11"/>
    </row>
    <row r="3" spans="1:6">
      <c r="A3" t="s">
        <v>54</v>
      </c>
      <c r="B3" t="s">
        <v>55</v>
      </c>
      <c r="C3" t="s">
        <v>13</v>
      </c>
      <c r="D3" t="s">
        <v>56</v>
      </c>
      <c r="E3" t="s">
        <v>57</v>
      </c>
      <c r="F3" t="s">
        <v>58</v>
      </c>
    </row>
    <row r="4" spans="1:6">
      <c r="A4" t="s">
        <v>59</v>
      </c>
      <c r="B4" t="s">
        <v>8</v>
      </c>
      <c r="C4" t="s">
        <v>60</v>
      </c>
      <c r="D4" t="s">
        <v>17</v>
      </c>
      <c r="E4" t="s">
        <v>61</v>
      </c>
      <c r="F4" t="s">
        <v>62</v>
      </c>
    </row>
    <row r="5" spans="1:6">
      <c r="A5" t="s">
        <v>6</v>
      </c>
      <c r="B5" t="s">
        <v>63</v>
      </c>
      <c r="C5" t="s">
        <v>64</v>
      </c>
      <c r="D5" t="s">
        <v>65</v>
      </c>
      <c r="E5" t="s">
        <v>19</v>
      </c>
      <c r="F5" t="s">
        <v>66</v>
      </c>
    </row>
    <row r="6" spans="1:6">
      <c r="A6" t="s">
        <v>67</v>
      </c>
      <c r="B6" t="s">
        <v>68</v>
      </c>
      <c r="C6" t="s">
        <v>14</v>
      </c>
      <c r="D6" t="s">
        <v>69</v>
      </c>
      <c r="F6" t="s">
        <v>70</v>
      </c>
    </row>
    <row r="7" spans="1:6">
      <c r="A7" t="s">
        <v>71</v>
      </c>
      <c r="B7" t="s">
        <v>72</v>
      </c>
      <c r="C7" t="s">
        <v>73</v>
      </c>
      <c r="D7" t="s">
        <v>74</v>
      </c>
    </row>
    <row r="8" spans="1:6">
      <c r="A8" t="s">
        <v>75</v>
      </c>
      <c r="B8" t="s">
        <v>76</v>
      </c>
      <c r="C8" t="s">
        <v>77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selection activeCell="F4" sqref="F4"/>
    </sheetView>
  </sheetViews>
  <sheetFormatPr defaultRowHeight="14.25"/>
  <cols>
    <col min="1" max="1" width="18" customWidth="1"/>
    <col min="2" max="2" width="28" customWidth="1"/>
    <col min="3" max="7" width="18" customWidth="1"/>
    <col min="8" max="10" width="28" customWidth="1"/>
  </cols>
  <sheetData>
    <row r="1" spans="1:10" ht="20.25">
      <c r="A1" s="11" t="s">
        <v>78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t="s">
        <v>29</v>
      </c>
      <c r="B2" t="s">
        <v>30</v>
      </c>
      <c r="C2" t="s">
        <v>32</v>
      </c>
      <c r="D2" t="s">
        <v>79</v>
      </c>
      <c r="E2" t="s">
        <v>34</v>
      </c>
      <c r="F2" t="s">
        <v>80</v>
      </c>
      <c r="H2" t="s">
        <v>81</v>
      </c>
      <c r="I2" t="s">
        <v>82</v>
      </c>
      <c r="J2" t="s">
        <v>83</v>
      </c>
    </row>
    <row r="3" spans="1:10">
      <c r="A3" t="s">
        <v>39</v>
      </c>
      <c r="B3" t="s">
        <v>84</v>
      </c>
      <c r="C3" s="9">
        <v>1776</v>
      </c>
      <c r="D3" s="10">
        <v>0.04</v>
      </c>
      <c r="E3" s="9">
        <f t="shared" ref="E3:E16" si="0">C3</f>
        <v>1776</v>
      </c>
      <c r="F3" s="9">
        <v>555</v>
      </c>
      <c r="H3" t="s">
        <v>10</v>
      </c>
      <c r="I3" t="s">
        <v>21</v>
      </c>
      <c r="J3" t="s">
        <v>23</v>
      </c>
    </row>
    <row r="4" spans="1:10">
      <c r="A4" t="s">
        <v>41</v>
      </c>
      <c r="B4" t="s">
        <v>85</v>
      </c>
      <c r="C4" s="9">
        <v>6840</v>
      </c>
      <c r="D4" s="10">
        <v>0.05</v>
      </c>
      <c r="E4" s="9">
        <f t="shared" si="0"/>
        <v>6840</v>
      </c>
      <c r="F4" s="9">
        <v>2160</v>
      </c>
      <c r="H4" t="s">
        <v>86</v>
      </c>
      <c r="I4" t="s">
        <v>87</v>
      </c>
    </row>
    <row r="5" spans="1:10">
      <c r="A5" t="s">
        <v>88</v>
      </c>
      <c r="B5" t="s">
        <v>89</v>
      </c>
      <c r="C5" s="9">
        <v>1121</v>
      </c>
      <c r="D5" s="10">
        <v>0.05</v>
      </c>
      <c r="E5" s="9">
        <f t="shared" si="0"/>
        <v>1121</v>
      </c>
      <c r="F5" s="9">
        <v>413</v>
      </c>
      <c r="H5" t="s">
        <v>90</v>
      </c>
    </row>
    <row r="6" spans="1:10">
      <c r="A6" t="s">
        <v>91</v>
      </c>
      <c r="B6" t="s">
        <v>92</v>
      </c>
      <c r="C6" s="9">
        <v>394.8</v>
      </c>
      <c r="D6" s="10">
        <v>0.06</v>
      </c>
      <c r="E6" s="9">
        <f t="shared" si="0"/>
        <v>394.8</v>
      </c>
      <c r="F6" s="9">
        <v>147</v>
      </c>
      <c r="H6" t="s">
        <v>93</v>
      </c>
    </row>
    <row r="7" spans="1:10">
      <c r="A7" t="s">
        <v>94</v>
      </c>
      <c r="B7" t="s">
        <v>95</v>
      </c>
      <c r="C7" s="9">
        <v>27170</v>
      </c>
      <c r="D7" s="10">
        <v>0.05</v>
      </c>
      <c r="E7" s="9">
        <f t="shared" si="0"/>
        <v>27170</v>
      </c>
      <c r="F7" s="9">
        <v>7150</v>
      </c>
      <c r="H7" t="s">
        <v>96</v>
      </c>
    </row>
    <row r="8" spans="1:10">
      <c r="A8" t="s">
        <v>97</v>
      </c>
      <c r="B8" t="s">
        <v>98</v>
      </c>
      <c r="C8" s="9">
        <v>902.5</v>
      </c>
      <c r="D8" s="10">
        <v>0.05</v>
      </c>
      <c r="E8" s="9">
        <f t="shared" si="0"/>
        <v>902.5</v>
      </c>
      <c r="F8" s="9">
        <v>333</v>
      </c>
      <c r="H8" t="s">
        <v>99</v>
      </c>
    </row>
    <row r="9" spans="1:10">
      <c r="A9" t="s">
        <v>100</v>
      </c>
      <c r="B9" t="s">
        <v>101</v>
      </c>
      <c r="C9" s="9">
        <v>1240.8</v>
      </c>
      <c r="D9" s="10">
        <v>0.06</v>
      </c>
      <c r="E9" s="9">
        <f t="shared" si="0"/>
        <v>1240.8</v>
      </c>
      <c r="F9" s="9">
        <v>462</v>
      </c>
      <c r="H9" t="s">
        <v>102</v>
      </c>
    </row>
    <row r="10" spans="1:10">
      <c r="A10" t="s">
        <v>103</v>
      </c>
      <c r="B10" t="s">
        <v>104</v>
      </c>
      <c r="C10" s="9">
        <v>931</v>
      </c>
      <c r="D10" s="10">
        <v>0.05</v>
      </c>
      <c r="E10" s="9">
        <f t="shared" si="0"/>
        <v>931</v>
      </c>
      <c r="F10" s="9">
        <v>343</v>
      </c>
      <c r="H10" t="s">
        <v>105</v>
      </c>
    </row>
    <row r="11" spans="1:10">
      <c r="A11" t="s">
        <v>106</v>
      </c>
      <c r="B11" t="s">
        <v>107</v>
      </c>
      <c r="C11" s="9">
        <v>9024</v>
      </c>
      <c r="D11" s="10">
        <v>0.04</v>
      </c>
      <c r="E11" s="9">
        <f t="shared" si="0"/>
        <v>9024</v>
      </c>
      <c r="F11" s="9">
        <v>2820</v>
      </c>
      <c r="H11" t="s">
        <v>108</v>
      </c>
    </row>
    <row r="12" spans="1:10">
      <c r="A12" t="s">
        <v>109</v>
      </c>
      <c r="B12" t="s">
        <v>110</v>
      </c>
      <c r="C12" s="9">
        <v>33060</v>
      </c>
      <c r="D12" s="10">
        <v>0.05</v>
      </c>
      <c r="E12" s="9">
        <f t="shared" si="0"/>
        <v>33060</v>
      </c>
      <c r="F12" s="9">
        <v>8700</v>
      </c>
      <c r="H12" t="s">
        <v>111</v>
      </c>
    </row>
    <row r="13" spans="1:10">
      <c r="A13" t="s">
        <v>112</v>
      </c>
      <c r="B13" t="s">
        <v>113</v>
      </c>
      <c r="C13" s="9">
        <v>1216</v>
      </c>
      <c r="D13" s="10">
        <v>0.05</v>
      </c>
      <c r="E13" s="9">
        <f t="shared" si="0"/>
        <v>1216</v>
      </c>
      <c r="F13" s="9">
        <v>448</v>
      </c>
      <c r="H13" t="s">
        <v>114</v>
      </c>
    </row>
    <row r="14" spans="1:10">
      <c r="A14" t="s">
        <v>115</v>
      </c>
      <c r="B14" t="s">
        <v>116</v>
      </c>
      <c r="C14" s="9">
        <v>42000</v>
      </c>
      <c r="D14" s="10">
        <v>0</v>
      </c>
      <c r="E14" s="9">
        <f t="shared" si="0"/>
        <v>42000</v>
      </c>
      <c r="F14" s="9">
        <v>16800</v>
      </c>
      <c r="H14" t="s">
        <v>117</v>
      </c>
    </row>
    <row r="15" spans="1:10">
      <c r="A15" t="s">
        <v>118</v>
      </c>
      <c r="B15" t="s">
        <v>119</v>
      </c>
      <c r="C15" s="9">
        <v>35000</v>
      </c>
      <c r="D15" s="10">
        <v>0</v>
      </c>
      <c r="E15" s="9">
        <f t="shared" si="0"/>
        <v>35000</v>
      </c>
      <c r="F15" s="9">
        <v>14000</v>
      </c>
      <c r="H15" t="s">
        <v>120</v>
      </c>
    </row>
    <row r="16" spans="1:10">
      <c r="A16" t="s">
        <v>121</v>
      </c>
      <c r="B16" t="s">
        <v>122</v>
      </c>
      <c r="C16" s="9">
        <v>0</v>
      </c>
      <c r="D16" s="10">
        <v>0</v>
      </c>
      <c r="E16" s="9">
        <f t="shared" si="0"/>
        <v>0</v>
      </c>
      <c r="F16" s="9">
        <v>0</v>
      </c>
      <c r="H16" t="s">
        <v>123</v>
      </c>
    </row>
    <row r="17" spans="8:8">
      <c r="H17" t="s">
        <v>124</v>
      </c>
    </row>
    <row r="18" spans="8:8">
      <c r="H18" t="s">
        <v>125</v>
      </c>
    </row>
    <row r="19" spans="8:8">
      <c r="H19" t="s">
        <v>126</v>
      </c>
    </row>
    <row r="20" spans="8:8">
      <c r="H20" t="s">
        <v>127</v>
      </c>
    </row>
    <row r="21" spans="8:8">
      <c r="H21" t="s">
        <v>128</v>
      </c>
    </row>
    <row r="22" spans="8:8">
      <c r="H22" t="s">
        <v>129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 Request Form</vt:lpstr>
      <vt:lpstr>Validation Lists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Kirill Savchuk</cp:lastModifiedBy>
  <dcterms:modified xsi:type="dcterms:W3CDTF">2026-08-22T08:59:30Z</dcterms:modified>
</cp:coreProperties>
</file>