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3ea333bce844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Request Form" sheetId="1" r:id="R2c6d626df2974482"/>
    <x:sheet xmlns:r="http://schemas.openxmlformats.org/officeDocument/2006/relationships" name="Validation Lists" sheetId="2" r:id="R1ee62800611d44c7"/>
    <x:sheet xmlns:r="http://schemas.openxmlformats.org/officeDocument/2006/relationships" name="Reference Data" sheetId="3" r:id="R9adfd284aae94b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#,##0.00"/>
    <x:numFmt numFmtId="203" formatCode="0.0%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sz val="11"/>
      <x:color rgb="FF334155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4557A"/>
      </x:patternFill>
    </x:fill>
    <x:fill>
      <x:patternFill patternType="solid">
        <x:fgColor rgb="FFEEF3F7"/>
      </x:patternFill>
    </x:fill>
    <x:fill>
      <x:patternFill patternType="solid">
        <x:fgColor rgb="FF147D76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</x:fills>
  <x:borders count="2">
    <x:border/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200" fontId="5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center" wrapText="1"/>
    </x:xf>
    <x:xf numFmtId="201" fontId="5" fillId="6" borderId="1" xfId="0" applyNumberFormat="1" applyFont="1" applyFill="1" applyBorder="1" applyAlignment="1">
      <x:alignment vertical="center" wrapText="1"/>
    </x:xf>
    <x:xf numFmtId="202" fontId="5" fillId="7" borderId="0" xfId="0" applyNumberFormat="1" applyFont="1" applyFill="1" applyBorder="1" applyAlignment="1">
      <x:alignment vertical="center" wrapText="1"/>
    </x:xf>
    <x:xf numFmtId="203" fontId="5" fillId="7" borderId="0" xfId="0" applyNumberFormat="1" applyFont="1" applyFill="1" applyBorder="1" applyAlignment="1">
      <x:alignment vertical="center" wrapText="1"/>
    </x:xf>
    <x:xf numFmtId="203" fontId="5" fillId="6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2da9dc78f74d1c" /><Relationship Type="http://schemas.openxmlformats.org/officeDocument/2006/relationships/theme" Target="/xl/theme/theme1.xml" Id="R62db577e94f5456d" /><Relationship Type="http://schemas.openxmlformats.org/officeDocument/2006/relationships/sharedStrings" Target="/xl/sharedStrings.xml" Id="Rb8683d84ca674e7b" /><Relationship Type="http://schemas.openxmlformats.org/officeDocument/2006/relationships/worksheet" Target="/xl/worksheets/sheet1.xml" Id="R2c6d626df2974482" /><Relationship Type="http://schemas.openxmlformats.org/officeDocument/2006/relationships/worksheet" Target="/xl/worksheets/sheet2.xml" Id="R1ee62800611d44c7" /><Relationship Type="http://schemas.openxmlformats.org/officeDocument/2006/relationships/worksheet" Target="/xl/worksheets/sheet3.xml" Id="R9adfd284aae94be2" /></Relationships>
</file>

<file path=xl/tables/table1.xml><?xml version="1.0" encoding="utf-8"?>
<x:table xmlns:x="http://schemas.openxmlformats.org/spreadsheetml/2006/main" id="1" name="DealRequestLines" displayName="DealRequestLines" ref="A17:K27" headerRowCount="1">
  <x:tableColumns count="11">
    <x:tableColumn id="1" name="Line #"/>
    <x:tableColumn id="2" name="SKU"/>
    <x:tableColumn id="3" name="Product Name"/>
    <x:tableColumn id="4" name="Quantity"/>
    <x:tableColumn id="5" name="Gross Price"/>
    <x:tableColumn id="6" name="Base Discount %"/>
    <x:tableColumn id="7" name="Current Net Price"/>
    <x:tableColumn id="8" name="Requested Additional Discount %"/>
    <x:tableColumn id="9" name="Requested Net Price"/>
    <x:tableColumn id="10" name="Requested Net Revenue"/>
    <x:tableColumn id="11" name="Line Commercial Justification"/>
  </x:tableColumns>
  <x:tableStyleInfo name="TableStyleMedium2" showRowStripes="1"/>
</x:table>
</file>

<file path=xl/tables/table2.xml><?xml version="1.0" encoding="utf-8"?>
<x:table xmlns:x="http://schemas.openxmlformats.org/spreadsheetml/2006/main" id="2" name="ValidationLists" displayName="ValidationLists" ref="A3:F8" headerRowCount="1">
  <x:tableColumns count="6">
    <x:tableColumn id="1" name="Deal Types"/>
    <x:tableColumn id="2" name="Statuses"/>
    <x:tableColumn id="3" name="Payment Terms"/>
    <x:tableColumn id="4" name="Billing Frequencies"/>
    <x:tableColumn id="5" name="Yes / No"/>
    <x:tableColumn id="6" name="Threat Level"/>
  </x:tableColumns>
  <x:tableStyleInfo name="TableStyleMedium2" showRowStripes="1"/>
</x:table>
</file>

<file path=xl/tables/table3.xml><?xml version="1.0" encoding="utf-8"?>
<x:table xmlns:x="http://schemas.openxmlformats.org/spreadsheetml/2006/main" id="3" name="ProductReference" displayName="ProductReference" ref="A2:F16" headerRowCount="1">
  <x:tableColumns count="6">
    <x:tableColumn id="1" name="SKU"/>
    <x:tableColumn id="2" name="Product Name"/>
    <x:tableColumn id="3" name="Gross Price"/>
    <x:tableColumn id="4" name="Base Discount %"/>
    <x:tableColumn id="5" name="Current Net Price"/>
    <x:tableColumn id="6" name="Standard Cos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e34a7e54794f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366a9766fda43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edbe1c7663347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3" hidden="0" customWidth="1"/>
    <x:col min="4" max="4" width="12" hidden="0" customWidth="1"/>
    <x:col min="5" max="5" width="16" hidden="0" customWidth="1"/>
    <x:col min="6" max="6" width="17" hidden="0" customWidth="1"/>
    <x:col min="7" max="7" width="18" hidden="0" customWidth="1"/>
    <x:col min="8" max="8" width="27" hidden="0" customWidth="1"/>
    <x:col min="9" max="9" width="18" hidden="0" customWidth="1"/>
    <x:col min="10" max="10" width="22" hidden="0" customWidth="1"/>
    <x:col min="11" max="11" width="42" hidden="0" customWidth="1"/>
  </x:cols>
  <x:sheetData>
    <x:row r="1" ht="30" customHeight="1">
      <x:c r="A1" s="4" t="str">
        <x:v>Commercial Deal Request Form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6" customHeight="1">
      <x:c r="A2" s="8" t="str">
        <x:v>Fill only yellow user-input fields. Reference-driven fields are populated from master data. Review the calculated summary before submitting.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>
      <x:c r="A4" s="11" t="str">
        <x:v>Deal Header</x:v>
      </x:c>
      <x:c r="B4" s="11"/>
      <x:c r="C4" s="11"/>
      <x:c r="D4" s="11"/>
      <x:c r="E4" s="11"/>
      <x:c r="F4" s="11"/>
      <x:c r="G4" s="11"/>
      <x:c r="H4" s="11"/>
      <x:c r="I4" s="11"/>
      <x:c r="J4" s="11"/>
      <x:c r="K4" s="11"/>
    </x:row>
    <x:row r="5">
      <x:c r="A5" s="15" t="str">
        <x:v>Deal Title</x:v>
      </x:c>
      <x:c r="B5" s="20" t="str">
        <x:v>Northstar Commercial Agreement</x:v>
      </x:c>
      <x:c r="C5" s="20"/>
      <x:c r="D5" s="20"/>
      <x:c r="E5" s="15" t="str">
        <x:v>Deal Type</x:v>
      </x:c>
      <x:c r="F5" s="20" t="str">
        <x:v>Contract Renewal</x:v>
      </x:c>
      <x:c r="G5" s="20"/>
      <x:c r="H5" s="15" t="str">
        <x:v>Status</x:v>
      </x:c>
      <x:c r="I5" s="20" t="str">
        <x:v>Draft</x:v>
      </x:c>
      <x:c r="J5" s="20"/>
      <x:c r="K5" s="20"/>
    </x:row>
    <x:row r="6">
      <x:c r="A6" s="15" t="str">
        <x:v>Sold-To Customer</x:v>
      </x:c>
      <x:c r="B6" s="20" t="str">
        <x:v>Northstar Health Systems</x:v>
      </x:c>
      <x:c r="C6" s="20"/>
      <x:c r="D6" s="20"/>
      <x:c r="E6" s="15" t="str">
        <x:v>End Account</x:v>
      </x:c>
      <x:c r="F6" s="20" t="str">
        <x:v>Northstar Health Systems</x:v>
      </x:c>
      <x:c r="G6" s="20"/>
      <x:c r="H6" s="20"/>
      <x:c r="I6" s="15" t="str">
        <x:v>Commercial Decision Deadline</x:v>
      </x:c>
      <x:c r="J6" s="21" t="n">
        <x:v>46234</x:v>
      </x:c>
      <x:c r="K6" s="21"/>
    </x:row>
    <x:row r="7">
      <x:c r="A7" s="15" t="str">
        <x:v>Payment Terms</x:v>
      </x:c>
      <x:c r="B7" s="20" t="str">
        <x:v>Net 60</x:v>
      </x:c>
      <x:c r="C7" s="20"/>
      <x:c r="D7" s="15" t="str">
        <x:v>Contract Duration Months</x:v>
      </x:c>
      <x:c r="E7" s="20" t="n">
        <x:v>24</x:v>
      </x:c>
      <x:c r="F7" s="20"/>
      <x:c r="G7" s="15" t="str">
        <x:v>Billing Frequency</x:v>
      </x:c>
      <x:c r="H7" s="20" t="str">
        <x:v>Annual</x:v>
      </x:c>
      <x:c r="I7" s="20"/>
      <x:c r="J7" s="15" t="str">
        <x:v>Special Terms Requested</x:v>
      </x:c>
      <x:c r="K7" s="20" t="str">
        <x:v>No</x:v>
      </x:c>
    </x:row>
    <x:row r="8">
      <x:c r="A8" s="15" t="str">
        <x:v>Sales Owner</x:v>
      </x:c>
      <x:c r="B8" s="20" t="str">
        <x:v>Maya Chen</x:v>
      </x:c>
      <x:c r="C8" s="20"/>
      <x:c r="D8" s="20"/>
      <x:c r="E8" s="15" t="str">
        <x:v>Sales Manager</x:v>
      </x:c>
      <x:c r="F8" s="20" t="str">
        <x:v>Jordan Blake</x:v>
      </x:c>
      <x:c r="G8" s="20"/>
      <x:c r="H8" s="20"/>
    </x:row>
    <x:row r="10">
      <x:c r="A10" s="15" t="str">
        <x:v>Business Justification (Mandatory)</x:v>
      </x:c>
      <x:c r="B10" s="20" t="str">
        <x:v>Contract renewal protects strategic volume following competitor entry and supports a commercially sustainable account relationship.</x:v>
      </x:c>
      <x:c r="C10" s="20"/>
      <x:c r="D10" s="20"/>
      <x:c r="E10" s="20"/>
      <x:c r="F10" s="20"/>
      <x:c r="G10" s="20"/>
      <x:c r="H10" s="20"/>
      <x:c r="I10" s="20"/>
      <x:c r="J10" s="20"/>
      <x:c r="K10" s="20"/>
    </x:row>
    <x:row r="11"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</x:row>
    <x:row r="12"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</x:row>
    <x:row r="13">
      <x:c r="A13" s="15" t="str">
        <x:v>Special Terms Description (Optional)</x:v>
      </x:c>
      <x:c r="B13" s="20" t="str"/>
      <x:c r="C13" s="20"/>
      <x:c r="D13" s="20"/>
      <x:c r="E13" s="20"/>
      <x:c r="F13" s="20"/>
      <x:c r="G13" s="20"/>
      <x:c r="H13" s="20"/>
      <x:c r="I13" s="20"/>
      <x:c r="J13" s="20"/>
      <x:c r="K13" s="20"/>
    </x:row>
    <x:row r="14"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</x:row>
    <x:row r="16">
      <x:c r="A16" s="11" t="str">
        <x:v>Line Items</x:v>
      </x:c>
      <x:c r="B16" s="11"/>
      <x:c r="C16" s="11"/>
      <x:c r="D16" s="11"/>
      <x:c r="E16" s="11"/>
      <x:c r="F16" s="11"/>
      <x:c r="G16" s="11"/>
      <x:c r="H16" s="11"/>
      <x:c r="I16" s="11"/>
      <x:c r="J16" s="11"/>
      <x:c r="K16" s="11"/>
    </x:row>
    <x:row r="17" ht="34" customHeight="1">
      <x:c r="A17" s="30" t="str">
        <x:v>Line #</x:v>
      </x:c>
      <x:c r="B17" s="30" t="str">
        <x:v>SKU</x:v>
      </x:c>
      <x:c r="C17" s="30" t="str">
        <x:v>Product Name</x:v>
      </x:c>
      <x:c r="D17" s="30" t="str">
        <x:v>Quantity</x:v>
      </x:c>
      <x:c r="E17" s="30" t="str">
        <x:v>Gross Price</x:v>
      </x:c>
      <x:c r="F17" s="30" t="str">
        <x:v>Base Discount %</x:v>
      </x:c>
      <x:c r="G17" s="30" t="str">
        <x:v>Current Net Price</x:v>
      </x:c>
      <x:c r="H17" s="30" t="str">
        <x:v>Requested Additional Discount %</x:v>
      </x:c>
      <x:c r="I17" s="30" t="str">
        <x:v>Requested Net Price</x:v>
      </x:c>
      <x:c r="J17" s="30" t="str">
        <x:v>Requested Net Revenue</x:v>
      </x:c>
      <x:c r="K17" s="30" t="str">
        <x:v>Line Commercial Justification</x:v>
      </x:c>
    </x:row>
    <x:row r="18">
      <x:c r="A18" s="25" t="n">
        <x:f>IF(B18="","",ROW()-17)</x:f>
        <x:v>1</x:v>
      </x:c>
      <x:c r="B18" s="20" t="str">
        <x:v>RX-ONC-100</x:v>
      </x:c>
      <x:c r="C18" s="25" t="str">
        <x:f>IFERROR(VLOOKUP(B18,'Reference Data'!$A$2:$F$15,2,FALSE),"")</x:f>
        <x:v>Product Alpha</x:v>
      </x:c>
      <x:c r="D18" s="26" t="n">
        <x:v>100</x:v>
      </x:c>
      <x:c r="E18" s="27" t="n">
        <x:f>IFERROR(VLOOKUP(B18,'Reference Data'!$A$2:$F$15,3,FALSE),"")</x:f>
        <x:v>1776</x:v>
      </x:c>
      <x:c r="F18" s="28" t="n">
        <x:f>IFERROR(VLOOKUP(B18,'Reference Data'!$A$2:$F$15,4,FALSE),"")</x:f>
        <x:v>0.04</x:v>
      </x:c>
      <x:c r="G18" s="27" t="n">
        <x:f>IFERROR(VLOOKUP(B18,'Reference Data'!$A$2:$F$15,5,FALSE),"")</x:f>
        <x:v>1704.96</x:v>
      </x:c>
      <x:c r="H18" s="29" t="n">
        <x:v>0.05</x:v>
      </x:c>
      <x:c r="I18" s="27" t="n">
        <x:f>IF(OR(G18="",H18=""),"",G18*(1-H18))</x:f>
        <x:v>1619.712</x:v>
      </x:c>
      <x:c r="J18" s="27" t="n">
        <x:f>IF(OR(D18="",I18=""),"",D18*I18)</x:f>
        <x:v>161971.2</x:v>
      </x:c>
      <x:c r="K18" s="20" t="str">
        <x:v>Additional discount supports renewal defense while preserving committed annual volume.</x:v>
      </x:c>
    </x:row>
    <x:row r="19">
      <x:c r="A19" s="25" t="n">
        <x:f>IF(B19="","",ROW()-17)</x:f>
        <x:v>2</x:v>
      </x:c>
      <x:c r="B19" s="20" t="str">
        <x:v>RX-ONC-500</x:v>
      </x:c>
      <x:c r="C19" s="25" t="str">
        <x:f>IFERROR(VLOOKUP(B19,'Reference Data'!$A$2:$F$15,2,FALSE),"")</x:f>
        <x:v>Product Beta</x:v>
      </x:c>
      <x:c r="D19" s="26" t="n">
        <x:v>25</x:v>
      </x:c>
      <x:c r="E19" s="27" t="n">
        <x:f>IFERROR(VLOOKUP(B19,'Reference Data'!$A$2:$F$15,3,FALSE),"")</x:f>
        <x:v>6840</x:v>
      </x:c>
      <x:c r="F19" s="28" t="n">
        <x:f>IFERROR(VLOOKUP(B19,'Reference Data'!$A$2:$F$15,4,FALSE),"")</x:f>
        <x:v>0.05</x:v>
      </x:c>
      <x:c r="G19" s="27" t="n">
        <x:f>IFERROR(VLOOKUP(B19,'Reference Data'!$A$2:$F$15,5,FALSE),"")</x:f>
        <x:v>6498</x:v>
      </x:c>
      <x:c r="H19" s="29" t="n">
        <x:v>0.08</x:v>
      </x:c>
      <x:c r="I19" s="27" t="n">
        <x:f>IF(OR(G19="",H19=""),"",G19*(1-H19))</x:f>
        <x:v>5978.16</x:v>
      </x:c>
      <x:c r="J19" s="27" t="n">
        <x:f>IF(OR(D19="",I19=""),"",D19*I19)</x:f>
        <x:v>149454</x:v>
      </x:c>
      <x:c r="K19" s="20" t="str">
        <x:v>Requested pricing reflects competitive pressure and the consolidated contract term.</x:v>
      </x:c>
    </x:row>
    <x:row r="20">
      <x:c r="A20" s="25" t="str">
        <x:f>IF(B20="","",ROW()-17)</x:f>
      </x:c>
      <x:c r="B20" s="20"/>
      <x:c r="C20" s="25" t="str">
        <x:f>IFERROR(VLOOKUP(B20,'Reference Data'!$A$2:$F$15,2,FALSE),"")</x:f>
      </x:c>
      <x:c r="D20" s="26"/>
      <x:c r="E20" s="27" t="str">
        <x:f>IFERROR(VLOOKUP(B20,'Reference Data'!$A$2:$F$15,3,FALSE),"")</x:f>
      </x:c>
      <x:c r="F20" s="28" t="str">
        <x:f>IFERROR(VLOOKUP(B20,'Reference Data'!$A$2:$F$15,4,FALSE),"")</x:f>
      </x:c>
      <x:c r="G20" s="27" t="str">
        <x:f>IFERROR(VLOOKUP(B20,'Reference Data'!$A$2:$F$15,5,FALSE),"")</x:f>
      </x:c>
      <x:c r="H20" s="29"/>
      <x:c r="I20" s="27" t="str">
        <x:f>IF(OR(G20="",H20=""),"",G20*(1-H20))</x:f>
      </x:c>
      <x:c r="J20" s="27" t="str">
        <x:f>IF(OR(D20="",I20=""),"",D20*I20)</x:f>
      </x:c>
      <x:c r="K20" s="20"/>
    </x:row>
    <x:row r="21">
      <x:c r="A21" s="25" t="str">
        <x:f>IF(B21="","",ROW()-17)</x:f>
      </x:c>
      <x:c r="B21" s="20"/>
      <x:c r="C21" s="25" t="str">
        <x:f>IFERROR(VLOOKUP(B21,'Reference Data'!$A$2:$F$15,2,FALSE),"")</x:f>
      </x:c>
      <x:c r="D21" s="26"/>
      <x:c r="E21" s="27" t="str">
        <x:f>IFERROR(VLOOKUP(B21,'Reference Data'!$A$2:$F$15,3,FALSE),"")</x:f>
      </x:c>
      <x:c r="F21" s="28" t="str">
        <x:f>IFERROR(VLOOKUP(B21,'Reference Data'!$A$2:$F$15,4,FALSE),"")</x:f>
      </x:c>
      <x:c r="G21" s="27" t="str">
        <x:f>IFERROR(VLOOKUP(B21,'Reference Data'!$A$2:$F$15,5,FALSE),"")</x:f>
      </x:c>
      <x:c r="H21" s="29"/>
      <x:c r="I21" s="27" t="str">
        <x:f>IF(OR(G21="",H21=""),"",G21*(1-H21))</x:f>
      </x:c>
      <x:c r="J21" s="27" t="str">
        <x:f>IF(OR(D21="",I21=""),"",D21*I21)</x:f>
      </x:c>
      <x:c r="K21" s="20"/>
    </x:row>
    <x:row r="22">
      <x:c r="A22" s="25" t="str">
        <x:f>IF(B22="","",ROW()-17)</x:f>
      </x:c>
      <x:c r="B22" s="20"/>
      <x:c r="C22" s="25" t="str">
        <x:f>IFERROR(VLOOKUP(B22,'Reference Data'!$A$2:$F$15,2,FALSE),"")</x:f>
      </x:c>
      <x:c r="D22" s="26"/>
      <x:c r="E22" s="27" t="str">
        <x:f>IFERROR(VLOOKUP(B22,'Reference Data'!$A$2:$F$15,3,FALSE),"")</x:f>
      </x:c>
      <x:c r="F22" s="28" t="str">
        <x:f>IFERROR(VLOOKUP(B22,'Reference Data'!$A$2:$F$15,4,FALSE),"")</x:f>
      </x:c>
      <x:c r="G22" s="27" t="str">
        <x:f>IFERROR(VLOOKUP(B22,'Reference Data'!$A$2:$F$15,5,FALSE),"")</x:f>
      </x:c>
      <x:c r="H22" s="29"/>
      <x:c r="I22" s="27" t="str">
        <x:f>IF(OR(G22="",H22=""),"",G22*(1-H22))</x:f>
      </x:c>
      <x:c r="J22" s="27" t="str">
        <x:f>IF(OR(D22="",I22=""),"",D22*I22)</x:f>
      </x:c>
      <x:c r="K22" s="20"/>
    </x:row>
    <x:row r="23">
      <x:c r="A23" s="25" t="str">
        <x:f>IF(B23="","",ROW()-17)</x:f>
      </x:c>
      <x:c r="B23" s="20"/>
      <x:c r="C23" s="25" t="str">
        <x:f>IFERROR(VLOOKUP(B23,'Reference Data'!$A$2:$F$15,2,FALSE),"")</x:f>
      </x:c>
      <x:c r="D23" s="26"/>
      <x:c r="E23" s="27" t="str">
        <x:f>IFERROR(VLOOKUP(B23,'Reference Data'!$A$2:$F$15,3,FALSE),"")</x:f>
      </x:c>
      <x:c r="F23" s="28" t="str">
        <x:f>IFERROR(VLOOKUP(B23,'Reference Data'!$A$2:$F$15,4,FALSE),"")</x:f>
      </x:c>
      <x:c r="G23" s="27" t="str">
        <x:f>IFERROR(VLOOKUP(B23,'Reference Data'!$A$2:$F$15,5,FALSE),"")</x:f>
      </x:c>
      <x:c r="H23" s="29"/>
      <x:c r="I23" s="27" t="str">
        <x:f>IF(OR(G23="",H23=""),"",G23*(1-H23))</x:f>
      </x:c>
      <x:c r="J23" s="27" t="str">
        <x:f>IF(OR(D23="",I23=""),"",D23*I23)</x:f>
      </x:c>
      <x:c r="K23" s="20"/>
    </x:row>
    <x:row r="24">
      <x:c r="A24" s="25" t="str">
        <x:f>IF(B24="","",ROW()-17)</x:f>
      </x:c>
      <x:c r="B24" s="20"/>
      <x:c r="C24" s="25" t="str">
        <x:f>IFERROR(VLOOKUP(B24,'Reference Data'!$A$2:$F$15,2,FALSE),"")</x:f>
      </x:c>
      <x:c r="D24" s="26"/>
      <x:c r="E24" s="27" t="str">
        <x:f>IFERROR(VLOOKUP(B24,'Reference Data'!$A$2:$F$15,3,FALSE),"")</x:f>
      </x:c>
      <x:c r="F24" s="28" t="str">
        <x:f>IFERROR(VLOOKUP(B24,'Reference Data'!$A$2:$F$15,4,FALSE),"")</x:f>
      </x:c>
      <x:c r="G24" s="27" t="str">
        <x:f>IFERROR(VLOOKUP(B24,'Reference Data'!$A$2:$F$15,5,FALSE),"")</x:f>
      </x:c>
      <x:c r="H24" s="29"/>
      <x:c r="I24" s="27" t="str">
        <x:f>IF(OR(G24="",H24=""),"",G24*(1-H24))</x:f>
      </x:c>
      <x:c r="J24" s="27" t="str">
        <x:f>IF(OR(D24="",I24=""),"",D24*I24)</x:f>
      </x:c>
      <x:c r="K24" s="20"/>
    </x:row>
    <x:row r="25">
      <x:c r="A25" s="25" t="str">
        <x:f>IF(B25="","",ROW()-17)</x:f>
      </x:c>
      <x:c r="B25" s="20"/>
      <x:c r="C25" s="25" t="str">
        <x:f>IFERROR(VLOOKUP(B25,'Reference Data'!$A$2:$F$15,2,FALSE),"")</x:f>
      </x:c>
      <x:c r="D25" s="26"/>
      <x:c r="E25" s="27" t="str">
        <x:f>IFERROR(VLOOKUP(B25,'Reference Data'!$A$2:$F$15,3,FALSE),"")</x:f>
      </x:c>
      <x:c r="F25" s="28" t="str">
        <x:f>IFERROR(VLOOKUP(B25,'Reference Data'!$A$2:$F$15,4,FALSE),"")</x:f>
      </x:c>
      <x:c r="G25" s="27" t="str">
        <x:f>IFERROR(VLOOKUP(B25,'Reference Data'!$A$2:$F$15,5,FALSE),"")</x:f>
      </x:c>
      <x:c r="H25" s="29"/>
      <x:c r="I25" s="27" t="str">
        <x:f>IF(OR(G25="",H25=""),"",G25*(1-H25))</x:f>
      </x:c>
      <x:c r="J25" s="27" t="str">
        <x:f>IF(OR(D25="",I25=""),"",D25*I25)</x:f>
      </x:c>
      <x:c r="K25" s="20"/>
    </x:row>
    <x:row r="26">
      <x:c r="A26" s="25" t="str">
        <x:f>IF(B26="","",ROW()-17)</x:f>
      </x:c>
      <x:c r="B26" s="20"/>
      <x:c r="C26" s="25" t="str">
        <x:f>IFERROR(VLOOKUP(B26,'Reference Data'!$A$2:$F$15,2,FALSE),"")</x:f>
      </x:c>
      <x:c r="D26" s="26"/>
      <x:c r="E26" s="27" t="str">
        <x:f>IFERROR(VLOOKUP(B26,'Reference Data'!$A$2:$F$15,3,FALSE),"")</x:f>
      </x:c>
      <x:c r="F26" s="28" t="str">
        <x:f>IFERROR(VLOOKUP(B26,'Reference Data'!$A$2:$F$15,4,FALSE),"")</x:f>
      </x:c>
      <x:c r="G26" s="27" t="str">
        <x:f>IFERROR(VLOOKUP(B26,'Reference Data'!$A$2:$F$15,5,FALSE),"")</x:f>
      </x:c>
      <x:c r="H26" s="29"/>
      <x:c r="I26" s="27" t="str">
        <x:f>IF(OR(G26="",H26=""),"",G26*(1-H26))</x:f>
      </x:c>
      <x:c r="J26" s="27" t="str">
        <x:f>IF(OR(D26="",I26=""),"",D26*I26)</x:f>
      </x:c>
      <x:c r="K26" s="20"/>
    </x:row>
    <x:row r="27">
      <x:c r="A27" s="25" t="str">
        <x:f>IF(B27="","",ROW()-17)</x:f>
      </x:c>
      <x:c r="B27" s="20"/>
      <x:c r="C27" s="25" t="str">
        <x:f>IFERROR(VLOOKUP(B27,'Reference Data'!$A$2:$F$15,2,FALSE),"")</x:f>
      </x:c>
      <x:c r="D27" s="26"/>
      <x:c r="E27" s="27" t="str">
        <x:f>IFERROR(VLOOKUP(B27,'Reference Data'!$A$2:$F$15,3,FALSE),"")</x:f>
      </x:c>
      <x:c r="F27" s="28" t="str">
        <x:f>IFERROR(VLOOKUP(B27,'Reference Data'!$A$2:$F$15,4,FALSE),"")</x:f>
      </x:c>
      <x:c r="G27" s="27" t="str">
        <x:f>IFERROR(VLOOKUP(B27,'Reference Data'!$A$2:$F$15,5,FALSE),"")</x:f>
      </x:c>
      <x:c r="H27" s="29"/>
      <x:c r="I27" s="27" t="str">
        <x:f>IF(OR(G27="",H27=""),"",G27*(1-H27))</x:f>
      </x:c>
      <x:c r="J27" s="27" t="str">
        <x:f>IF(OR(D27="",I27=""),"",D27*I27)</x:f>
      </x:c>
      <x:c r="K27" s="20"/>
    </x:row>
    <x:row r="29">
      <x:c r="A29" s="11" t="str">
        <x:v>Calculated Summary</x:v>
      </x:c>
      <x:c r="B29" s="11"/>
      <x:c r="C29" s="11"/>
      <x:c r="D29" s="11"/>
      <x:c r="E29" s="11"/>
      <x:c r="F29" s="11"/>
      <x:c r="G29" s="11"/>
      <x:c r="H29" s="11"/>
      <x:c r="I29" s="11"/>
      <x:c r="J29" s="11"/>
      <x:c r="K29" s="11"/>
    </x:row>
    <x:row r="30">
      <x:c r="A30" s="15" t="str">
        <x:v>Gross Revenue</x:v>
      </x:c>
      <x:c r="B30" s="27" t="n">
        <x:f>SUMPRODUCT(D18:D27,E18:E27)</x:f>
        <x:v>348600</x:v>
      </x:c>
      <x:c r="D30" s="15" t="str">
        <x:v>Requested Net Revenue</x:v>
      </x:c>
      <x:c r="E30" s="27" t="n">
        <x:f>SUM(J18:J27)</x:f>
        <x:v>311425.2</x:v>
      </x:c>
      <x:c r="G30" s="15" t="str">
        <x:v>Discount Amount</x:v>
      </x:c>
      <x:c r="H30" s="27" t="n">
        <x:f>B30-E30</x:f>
        <x:v>37174.79999999999</x:v>
      </x:c>
    </x:row>
    <x:row r="31">
      <x:c r="A31" s="15" t="str">
        <x:v>Discount %</x:v>
      </x:c>
      <x:c r="B31" s="28" t="n">
        <x:f>IF(B30=0,0,H30/B30)</x:f>
        <x:v>0.10664027538726331</x:v>
      </x:c>
      <x:c r="D31" s="15" t="str">
        <x:v>Gross Profit</x:v>
      </x:c>
      <x:c r="E31" s="27" t="n">
        <x:f>E30-(D18*IFERROR(VLOOKUP(B18,'Reference Data'!$A$2:$F$15,6,FALSE),0)+D19*IFERROR(VLOOKUP(B19,'Reference Data'!$A$2:$F$15,6,FALSE),0)+D20*IFERROR(VLOOKUP(B20,'Reference Data'!$A$2:$F$15,6,FALSE),0)+D21*IFERROR(VLOOKUP(B21,'Reference Data'!$A$2:$F$15,6,FALSE),0)+D22*IFERROR(VLOOKUP(B22,'Reference Data'!$A$2:$F$15,6,FALSE),0)+D23*IFERROR(VLOOKUP(B23,'Reference Data'!$A$2:$F$15,6,FALSE),0)+D24*IFERROR(VLOOKUP(B24,'Reference Data'!$A$2:$F$15,6,FALSE),0)+D25*IFERROR(VLOOKUP(B25,'Reference Data'!$A$2:$F$15,6,FALSE),0)+D26*IFERROR(VLOOKUP(B26,'Reference Data'!$A$2:$F$15,6,FALSE),0)+D27*IFERROR(VLOOKUP(B27,'Reference Data'!$A$2:$F$15,6,FALSE),0))</x:f>
        <x:v>201925.2</x:v>
      </x:c>
      <x:c r="G31" s="15" t="str">
        <x:v>Gross Margin %</x:v>
      </x:c>
      <x:c r="H31" s="28" t="n">
        <x:f>IF(E30=0,0,E31/E30)</x:f>
        <x:v>0.6483906890001194</x:v>
      </x:c>
    </x:row>
    <x:row r="32">
      <x:c r="A32" s="15" t="str">
        <x:v>Line Item Count</x:v>
      </x:c>
      <x:c r="B32" s="25" t="n">
        <x:f>COUNTIF(B18:B27,"&lt;&gt;")</x:f>
        <x:v>2</x:v>
      </x:c>
      <x:c r="D32" s="15" t="str">
        <x:v>Submission Readiness</x:v>
      </x:c>
      <x:c r="E32" s="25" t="str">
        <x:f>IF(AND(B5&lt;&gt;"",F5&lt;&gt;"",I5&lt;&gt;"",B6&lt;&gt;"",F6&lt;&gt;"",J6&lt;&gt;"",B7&lt;&gt;"",E7&gt;0,H7&lt;&gt;"",K7&lt;&gt;"",B8&lt;&gt;"",F8&lt;&gt;"",B10&lt;&gt;"",COUNTIF(B18:B27,"&lt;&gt;")&gt;0),"Ready to Submit","Incomplete")</x:f>
        <x:v>Ready to Submit</x:v>
      </x:c>
    </x:row>
    <x:row r="35">
      <x:c r="A35" s="11" t="str">
        <x:v>Instructions</x:v>
      </x:c>
      <x:c r="B35" s="11"/>
      <x:c r="C35" s="11"/>
      <x:c r="D35" s="11"/>
      <x:c r="E35" s="11"/>
      <x:c r="F35" s="11"/>
      <x:c r="G35" s="11"/>
      <x:c r="H35" s="11"/>
      <x:c r="I35" s="11"/>
      <x:c r="J35" s="11"/>
      <x:c r="K35" s="11"/>
    </x:row>
    <x:row r="36" ht="24" customHeight="1">
      <x:c r="A36" s="34" t="str">
        <x:v>1. Fill only yellow user-input fields.
2. Reference-driven fields are populated from master data.
3. Review the calculated summary before submitting.
4. Business Justification is mandatory; Special Terms Description is optional.</x:v>
      </x:c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</x:row>
    <x:row r="37" ht="24" customHeight="1">
      <x:c r="A37" s="34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</x:row>
    <x:row r="38" ht="24" customHeight="1">
      <x:c r="A38" s="34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</x:row>
  </x:sheetData>
  <x:mergeCells>
    <x:mergeCell ref="A1:K1"/>
    <x:mergeCell ref="A2:K2"/>
    <x:mergeCell ref="A4:K4"/>
    <x:mergeCell ref="B5:D5"/>
    <x:mergeCell ref="F5:G5"/>
    <x:mergeCell ref="I5:K5"/>
    <x:mergeCell ref="B6:D6"/>
    <x:mergeCell ref="F6:H6"/>
    <x:mergeCell ref="J6:K6"/>
    <x:mergeCell ref="B7:C7"/>
    <x:mergeCell ref="E7:F7"/>
    <x:mergeCell ref="H7:I7"/>
    <x:mergeCell ref="B8:D8"/>
    <x:mergeCell ref="F8:H8"/>
    <x:mergeCell ref="A10:A12"/>
    <x:mergeCell ref="B10:K12"/>
    <x:mergeCell ref="A13:A14"/>
    <x:mergeCell ref="B13:K14"/>
    <x:mergeCell ref="A16:K16"/>
    <x:mergeCell ref="A29:K29"/>
    <x:mergeCell ref="E32:H32"/>
    <x:mergeCell ref="A35:K35"/>
    <x:mergeCell ref="A36:K38"/>
  </x:mergeCells>
  <x:dataValidations count="10">
    <x:dataValidation type="list" sqref="F5:G5">
      <x:formula1>'Validation Lists'!$A$4:$A$8</x:formula1>
    </x:dataValidation>
    <x:dataValidation type="list" sqref="I5:K5">
      <x:formula1>'Validation Lists'!$B$4:$B$8</x:formula1>
    </x:dataValidation>
    <x:dataValidation type="list" sqref="B6:D6">
      <x:formula1>'Reference Data'!$H$3:$H$22</x:formula1>
    </x:dataValidation>
    <x:dataValidation type="list" sqref="F6:H6">
      <x:formula1>'Reference Data'!$H$3:$H$22</x:formula1>
    </x:dataValidation>
    <x:dataValidation type="list" sqref="B7:C7">
      <x:formula1>'Validation Lists'!$C$4:$C$8</x:formula1>
    </x:dataValidation>
    <x:dataValidation type="list" sqref="H7:I7">
      <x:formula1>'Validation Lists'!$D$4:$D$7</x:formula1>
    </x:dataValidation>
    <x:dataValidation type="list" sqref="K7">
      <x:formula1>'Validation Lists'!$E$4:$E$5</x:formula1>
    </x:dataValidation>
    <x:dataValidation type="list" sqref="B8:D8">
      <x:formula1>'Reference Data'!$I$3:$I$4</x:formula1>
    </x:dataValidation>
    <x:dataValidation type="list" sqref="F8:H8">
      <x:formula1>'Reference Data'!$J$3:$J$3</x:formula1>
    </x:dataValidation>
    <x:dataValidation type="list" sqref="B18:B27">
      <x:formula1>'Reference Data'!$A$3:$A$16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e34a7e54794f9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</x:cols>
  <x:sheetData>
    <x:row r="1">
      <x:c r="A1" s="4" t="str">
        <x:v>Validation Lists</x:v>
      </x:c>
      <x:c r="B1" s="4"/>
      <x:c r="C1" s="4"/>
      <x:c r="D1" s="4"/>
      <x:c r="E1" s="4"/>
      <x:c r="F1" s="4"/>
    </x:row>
    <x:row r="3">
      <x:c r="A3" t="str">
        <x:v>Deal Types</x:v>
      </x:c>
      <x:c r="B3" t="str">
        <x:v>Statuses</x:v>
      </x:c>
      <x:c r="C3" t="str">
        <x:v>Payment Terms</x:v>
      </x:c>
      <x:c r="D3" t="str">
        <x:v>Billing Frequencies</x:v>
      </x:c>
      <x:c r="E3" t="str">
        <x:v>Yes / No</x:v>
      </x:c>
      <x:c r="F3" t="str">
        <x:v>Threat Level</x:v>
      </x:c>
    </x:row>
    <x:row r="4">
      <x:c r="A4" t="str">
        <x:v>New Account / Launch</x:v>
      </x:c>
      <x:c r="B4" t="str">
        <x:v>Draft</x:v>
      </x:c>
      <x:c r="C4" t="str">
        <x:v>Net 30</x:v>
      </x:c>
      <x:c r="D4" t="str">
        <x:v>Annual</x:v>
      </x:c>
      <x:c r="E4" t="str">
        <x:v>Yes</x:v>
      </x:c>
      <x:c r="F4" t="str">
        <x:v>Low</x:v>
      </x:c>
    </x:row>
    <x:row r="5">
      <x:c r="A5" t="str">
        <x:v>Contract Renewal</x:v>
      </x:c>
      <x:c r="B5" t="str">
        <x:v>Submitted</x:v>
      </x:c>
      <x:c r="C5" t="str">
        <x:v>Net 45</x:v>
      </x:c>
      <x:c r="D5" t="str">
        <x:v>Quarterly</x:v>
      </x:c>
      <x:c r="E5" t="str">
        <x:v>No</x:v>
      </x:c>
      <x:c r="F5" t="str">
        <x:v>Medium</x:v>
      </x:c>
    </x:row>
    <x:row r="6">
      <x:c r="A6" t="str">
        <x:v>Tender</x:v>
      </x:c>
      <x:c r="B6" t="str">
        <x:v>Changes Requested</x:v>
      </x:c>
      <x:c r="C6" t="str">
        <x:v>Net 60</x:v>
      </x:c>
      <x:c r="D6" t="str">
        <x:v>Monthly</x:v>
      </x:c>
      <x:c r="E6"/>
      <x:c r="F6" t="str">
        <x:v>High</x:v>
      </x:c>
    </x:row>
    <x:row r="7">
      <x:c r="A7" t="str">
        <x:v>Competitive Defense</x:v>
      </x:c>
      <x:c r="B7" t="str">
        <x:v>Approved</x:v>
      </x:c>
      <x:c r="C7" t="str">
        <x:v>Net 90</x:v>
      </x:c>
      <x:c r="D7" t="str">
        <x:v>Milestone</x:v>
      </x:c>
      <x:c r="E7"/>
      <x:c r="F7"/>
    </x:row>
    <x:row r="8">
      <x:c r="A8" t="str">
        <x:v>Strategic Exception</x:v>
      </x:c>
      <x:c r="B8" t="str">
        <x:v>Rejected</x:v>
      </x:c>
      <x:c r="C8" t="str">
        <x:v>Custom</x:v>
      </x:c>
      <x:c r="D8"/>
      <x:c r="E8"/>
      <x:c r="F8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1366a9766fda436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28" hidden="0" customWidth="1"/>
  </x:cols>
  <x:sheetData>
    <x:row r="1">
      <x:c r="A1" s="4" t="str">
        <x:v>Reference Data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t="str">
        <x:v>SKU</x:v>
      </x:c>
      <x:c r="B2" t="str">
        <x:v>Product Name</x:v>
      </x:c>
      <x:c r="C2" t="str">
        <x:v>Gross Price</x:v>
      </x:c>
      <x:c r="D2" t="str">
        <x:v>Base Discount %</x:v>
      </x:c>
      <x:c r="E2" t="str">
        <x:v>Current Net Price</x:v>
      </x:c>
      <x:c r="F2" t="str">
        <x:v>Standard Cost</x:v>
      </x:c>
      <x:c r="H2" t="str">
        <x:v>Customers</x:v>
      </x:c>
      <x:c r="I2" t="str">
        <x:v>Sales Owners</x:v>
      </x:c>
      <x:c r="J2" t="str">
        <x:v>Sales Managers</x:v>
      </x:c>
    </x:row>
    <x:row r="3">
      <x:c r="A3" t="str">
        <x:v>RX-ONC-100</x:v>
      </x:c>
      <x:c r="B3" t="str">
        <x:v>Product Alpha</x:v>
      </x:c>
      <x:c r="C3" s="35" t="n">
        <x:v>1776</x:v>
      </x:c>
      <x:c r="D3" s="36" t="n">
        <x:v>0.04</x:v>
      </x:c>
      <x:c r="E3" s="35" t="n">
        <x:v>1704.96</x:v>
      </x:c>
      <x:c r="F3" s="35" t="n">
        <x:v>555</x:v>
      </x:c>
      <x:c r="H3" t="str">
        <x:v>Northstar Health Systems</x:v>
      </x:c>
      <x:c r="I3" t="str">
        <x:v>Maya Chen</x:v>
      </x:c>
      <x:c r="J3" t="str">
        <x:v>Jordan Blake</x:v>
      </x:c>
    </x:row>
    <x:row r="4">
      <x:c r="A4" t="str">
        <x:v>RX-ONC-500</x:v>
      </x:c>
      <x:c r="B4" t="str">
        <x:v>Product Beta</x:v>
      </x:c>
      <x:c r="C4" s="35" t="n">
        <x:v>6840</x:v>
      </x:c>
      <x:c r="D4" s="36" t="n">
        <x:v>0.05</x:v>
      </x:c>
      <x:c r="E4" s="35" t="n">
        <x:v>6498</x:v>
      </x:c>
      <x:c r="F4" s="35" t="n">
        <x:v>2160</x:v>
      </x:c>
      <x:c r="H4" t="str">
        <x:v>Meridian Specialty Pharmacy</x:v>
      </x:c>
      <x:c r="I4" t="str">
        <x:v>Ethan Brooks</x:v>
      </x:c>
    </x:row>
    <x:row r="5">
      <x:c r="A5" t="str">
        <x:v>BIO-RA-200</x:v>
      </x:c>
      <x:c r="B5" t="str">
        <x:v>Product Gamma</x:v>
      </x:c>
      <x:c r="C5" s="35" t="n">
        <x:v>1121</x:v>
      </x:c>
      <x:c r="D5" s="36" t="n">
        <x:v>0.05</x:v>
      </x:c>
      <x:c r="E5" s="35" t="n">
        <x:v>1064.95</x:v>
      </x:c>
      <x:c r="F5" s="35" t="n">
        <x:v>413</x:v>
      </x:c>
      <x:c r="H5" t="str">
        <x:v>Apex National GPO</x:v>
      </x:c>
    </x:row>
    <x:row r="6">
      <x:c r="A6" t="str">
        <x:v>RX-CARD-50</x:v>
      </x:c>
      <x:c r="B6" t="str">
        <x:v>Product Delta</x:v>
      </x:c>
      <x:c r="C6" s="35" t="n">
        <x:v>394.8</x:v>
      </x:c>
      <x:c r="D6" s="36" t="n">
        <x:v>0.06</x:v>
      </x:c>
      <x:c r="E6" s="35" t="n">
        <x:v>371.11199999999997</x:v>
      </x:c>
      <x:c r="F6" s="35" t="n">
        <x:v>147</x:v>
      </x:c>
      <x:c r="H6" t="str">
        <x:v>HelioRx Distribution</x:v>
      </x:c>
    </x:row>
    <x:row r="7">
      <x:c r="A7" t="str">
        <x:v>RX-RARE-10</x:v>
      </x:c>
      <x:c r="B7" t="str">
        <x:v>Product Epsilon</x:v>
      </x:c>
      <x:c r="C7" s="35" t="n">
        <x:v>27170</x:v>
      </x:c>
      <x:c r="D7" s="36" t="n">
        <x:v>0.05</x:v>
      </x:c>
      <x:c r="E7" s="35" t="n">
        <x:v>25811.5</x:v>
      </x:c>
      <x:c r="F7" s="35" t="n">
        <x:v>7150</x:v>
      </x:c>
      <x:c r="H7" t="str">
        <x:v>Summit Oncology Clinics</x:v>
      </x:c>
    </x:row>
    <x:row r="8">
      <x:c r="A8" t="str">
        <x:v>DX-COMP-01</x:v>
      </x:c>
      <x:c r="B8" t="str">
        <x:v>Product Zeta</x:v>
      </x:c>
      <x:c r="C8" s="35" t="n">
        <x:v>902.5</x:v>
      </x:c>
      <x:c r="D8" s="36" t="n">
        <x:v>0.05</x:v>
      </x:c>
      <x:c r="E8" s="35" t="n">
        <x:v>857.375</x:v>
      </x:c>
      <x:c r="F8" s="35" t="n">
        <x:v>333</x:v>
      </x:c>
      <x:c r="H8" t="str">
        <x:v>Cityline Payer Alliance</x:v>
      </x:c>
    </x:row>
    <x:row r="9">
      <x:c r="A9" t="str">
        <x:v>RX-HOSP-20</x:v>
      </x:c>
      <x:c r="B9" t="str">
        <x:v>Product Eta</x:v>
      </x:c>
      <x:c r="C9" s="35" t="n">
        <x:v>1240.8</x:v>
      </x:c>
      <x:c r="D9" s="36" t="n">
        <x:v>0.06</x:v>
      </x:c>
      <x:c r="E9" s="35" t="n">
        <x:v>1166.3519999999999</x:v>
      </x:c>
      <x:c r="F9" s="35" t="n">
        <x:v>462</x:v>
      </x:c>
      <x:c r="H9" t="str">
        <x:v>Orion Hospital Trust</x:v>
      </x:c>
    </x:row>
    <x:row r="10">
      <x:c r="A10" t="str">
        <x:v>BIO-DERM-80</x:v>
      </x:c>
      <x:c r="B10" t="str">
        <x:v>Product Theta</x:v>
      </x:c>
      <x:c r="C10" s="35" t="n">
        <x:v>931</x:v>
      </x:c>
      <x:c r="D10" s="36" t="n">
        <x:v>0.05</x:v>
      </x:c>
      <x:c r="E10" s="35" t="n">
        <x:v>884.4499999999999</x:v>
      </x:c>
      <x:c r="F10" s="35" t="n">
        <x:v>343</x:v>
      </x:c>
      <x:c r="H10" t="str">
        <x:v>Beacon Clinical Research</x:v>
      </x:c>
    </x:row>
    <x:row r="11">
      <x:c r="A11" t="str">
        <x:v>RX-ONC-ORAL</x:v>
      </x:c>
      <x:c r="B11" t="str">
        <x:v>Product Iota</x:v>
      </x:c>
      <x:c r="C11" s="35" t="n">
        <x:v>9024</x:v>
      </x:c>
      <x:c r="D11" s="36" t="n">
        <x:v>0.04</x:v>
      </x:c>
      <x:c r="E11" s="35" t="n">
        <x:v>8663.039999999999</x:v>
      </x:c>
      <x:c r="F11" s="35" t="n">
        <x:v>2820</x:v>
      </x:c>
      <x:c r="H11" t="str">
        <x:v>Crescent Public Tender Authority</x:v>
      </x:c>
    </x:row>
    <x:row r="12">
      <x:c r="A12" t="str">
        <x:v>RX-RARE-INF</x:v>
      </x:c>
      <x:c r="B12" t="str">
        <x:v>Product Kappa</x:v>
      </x:c>
      <x:c r="C12" s="35" t="n">
        <x:v>33060</x:v>
      </x:c>
      <x:c r="D12" s="36" t="n">
        <x:v>0.05</x:v>
      </x:c>
      <x:c r="E12" s="35" t="n">
        <x:v>31407</x:v>
      </x:c>
      <x:c r="F12" s="35" t="n">
        <x:v>8700</x:v>
      </x:c>
      <x:c r="H12" t="str">
        <x:v>Valence Integrated Care</x:v>
      </x:c>
    </x:row>
    <x:row r="13">
      <x:c r="A13" t="str">
        <x:v>DX-GENE-02</x:v>
      </x:c>
      <x:c r="B13" t="str">
        <x:v>Product Lambda</x:v>
      </x:c>
      <x:c r="C13" s="35" t="n">
        <x:v>1216</x:v>
      </x:c>
      <x:c r="D13" s="36" t="n">
        <x:v>0.05</x:v>
      </x:c>
      <x:c r="E13" s="35" t="n">
        <x:v>1155.2</x:v>
      </x:c>
      <x:c r="F13" s="35" t="n">
        <x:v>448</x:v>
      </x:c>
      <x:c r="H13" t="str">
        <x:v>Harbor Specialty Rx</x:v>
      </x:c>
    </x:row>
    <x:row r="14">
      <x:c r="A14" t="str">
        <x:v>SVC-PAT-01</x:v>
      </x:c>
      <x:c r="B14" t="str">
        <x:v>Product Mu</x:v>
      </x:c>
      <x:c r="C14" s="35" t="n">
        <x:v>42000</x:v>
      </x:c>
      <x:c r="D14" s="36" t="n">
        <x:v>0</x:v>
      </x:c>
      <x:c r="E14" s="35" t="n">
        <x:v>42000</x:v>
      </x:c>
      <x:c r="F14" s="35" t="n">
        <x:v>16800</x:v>
      </x:c>
      <x:c r="H14" t="str">
        <x:v>Union National Payer</x:v>
      </x:c>
    </x:row>
    <x:row r="15">
      <x:c r="A15" t="str">
        <x:v>SVC-START</x:v>
      </x:c>
      <x:c r="B15" t="str">
        <x:v>Product Nu</x:v>
      </x:c>
      <x:c r="C15" s="35" t="n">
        <x:v>35000</x:v>
      </x:c>
      <x:c r="D15" s="36" t="n">
        <x:v>0</x:v>
      </x:c>
      <x:c r="E15" s="35" t="n">
        <x:v>35000</x:v>
      </x:c>
      <x:c r="F15" s="35" t="n">
        <x:v>14000</x:v>
      </x:c>
      <x:c r="H15" t="str">
        <x:v>Atlas Hospital Network</x:v>
      </x:c>
    </x:row>
    <x:row r="16">
      <x:c r="A16" t="str">
        <x:v>REB-FORM</x:v>
      </x:c>
      <x:c r="B16" t="str">
        <x:v>Product Xi</x:v>
      </x:c>
      <x:c r="C16" s="35" t="n">
        <x:v>0</x:v>
      </x:c>
      <x:c r="D16" s="36" t="n">
        <x:v>0</x:v>
      </x:c>
      <x:c r="E16" s="35" t="n">
        <x:v>0</x:v>
      </x:c>
      <x:c r="F16" s="35" t="n">
        <x:v>0</x:v>
      </x:c>
      <x:c r="H16" t="str">
        <x:v>NovaCare Oncology</x:v>
      </x:c>
    </x:row>
    <x:row r="17">
      <x:c r="H17" t="str">
        <x:v>Pioneer Medical Group</x:v>
      </x:c>
    </x:row>
    <x:row r="18">
      <x:c r="H18" t="str">
        <x:v>Europa Health Purchasing</x:v>
      </x:c>
    </x:row>
    <x:row r="19">
      <x:c r="H19" t="str">
        <x:v>Redwood Regional IDN</x:v>
      </x:c>
    </x:row>
    <x:row r="20">
      <x:c r="H20" t="str">
        <x:v>Sterling Specialty Distribution</x:v>
      </x:c>
    </x:row>
    <x:row r="21">
      <x:c r="H21" t="str">
        <x:v>BluePeak Payer Coalition</x:v>
      </x:c>
    </x:row>
    <x:row r="22">
      <x:c r="H22" t="str">
        <x:v>Metro Infusion Partners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cedbe1c766334718"/>
  </x:tableParts>
</x:worksheet>
</file>