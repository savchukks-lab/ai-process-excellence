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0caf6d6e9b4b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Request Form" sheetId="1" r:id="R1901ad99a6824c91"/>
    <x:sheet xmlns:r="http://schemas.openxmlformats.org/officeDocument/2006/relationships" name="Validation Lists" sheetId="2" r:id="R6d5667a22acf40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$#,##0"/>
    <x:numFmt numFmtId="202" formatCode="0.0%"/>
  </x:numFmts>
  <x:fonts count="4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F2933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3F6F8"/>
      </x:patternFill>
    </x:fill>
    <x:fill>
      <x:patternFill patternType="solid">
        <x:fgColor rgb="FF0F766E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1" xfId="0" applyNumberFormat="1" applyFont="1" applyFill="1" applyBorder="1"/>
    <x:xf numFmtId="200" fontId="0" fillId="5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fb80bd1f054f68" /><Relationship Type="http://schemas.openxmlformats.org/officeDocument/2006/relationships/theme" Target="/xl/theme/theme1.xml" Id="Rc7fd9e35650c4df6" /><Relationship Type="http://schemas.openxmlformats.org/officeDocument/2006/relationships/sharedStrings" Target="/xl/sharedStrings.xml" Id="R7c8f520329044480" /><Relationship Type="http://schemas.openxmlformats.org/officeDocument/2006/relationships/worksheet" Target="/xl/worksheets/sheet1.xml" Id="R1901ad99a6824c91" /><Relationship Type="http://schemas.openxmlformats.org/officeDocument/2006/relationships/worksheet" Target="/xl/worksheets/sheet2.xml" Id="R6d5667a22acf40f3" /></Relationships>
</file>

<file path=xl/tables/table1.xml><?xml version="1.0" encoding="utf-8"?>
<x:table xmlns:x="http://schemas.openxmlformats.org/spreadsheetml/2006/main" id="1" name="DealRequestLines" displayName="DealRequestLines" ref="A11:J16" headerRowCount="1">
  <x:tableColumns count="10">
    <x:tableColumn id="1" name="Line #"/>
    <x:tableColumn id="2" name="SKU"/>
    <x:tableColumn id="3" name="Product Name"/>
    <x:tableColumn id="4" name="Quantity"/>
    <x:tableColumn id="5" name="Unit List Price"/>
    <x:tableColumn id="6" name="Proposed Unit Price"/>
    <x:tableColumn id="7" name="Discount %"/>
    <x:tableColumn id="8" name="Extended Proposed Price"/>
    <x:tableColumn id="9" name="Requested Delivery Date"/>
    <x:tableColumn id="10" name="Line Notes"/>
  </x:tableColumns>
  <x:tableStyleInfo name="TableStyleMedium2" showRowStripes="1"/>
</x:table>
</file>

<file path=xl/tables/table2.xml><?xml version="1.0" encoding="utf-8"?>
<x:table xmlns:x="http://schemas.openxmlformats.org/spreadsheetml/2006/main" id="2" name="ValidationLists" displayName="ValidationLists" ref="A3:F8" headerRowCount="1">
  <x:tableColumns count="6">
    <x:tableColumn id="1" name="Deal Types"/>
    <x:tableColumn id="2" name="Statuses"/>
    <x:tableColumn id="3" name="Payment Terms"/>
    <x:tableColumn id="4" name="Billing Frequencies"/>
    <x:tableColumn id="5" name="Yes/No"/>
    <x:tableColumn id="6" name="Competitive Situation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15cd240e2e47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59a706dbb9a48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7.5" hidden="0" customWidth="1"/>
    <x:col min="3" max="3" width="26.25" hidden="0" customWidth="1"/>
    <x:col min="4" max="4" width="11.25" hidden="0" customWidth="1"/>
    <x:col min="5" max="5" width="14.380000114440918" hidden="0" customWidth="1"/>
    <x:col min="6" max="6" width="15.630000114440918" hidden="0" customWidth="1"/>
    <x:col min="7" max="7" width="11.880000114440918" hidden="0" customWidth="1"/>
    <x:col min="8" max="8" width="18.1299991607666" hidden="0" customWidth="1"/>
    <x:col min="9" max="9" width="16.25" hidden="0" customWidth="1"/>
    <x:col min="10" max="10" width="27.5" hidden="0" customWidth="1"/>
  </x:cols>
  <x:sheetData>
    <x:row r="1" ht="24" customHeight="1">
      <x:c r="A1" s="4" t="str">
        <x:v>Commercial Deal Request Form</x:v>
      </x:c>
      <x:c r="B1" s="4" t="str">
        <x:v>Commercial Deal Request Form</x:v>
      </x:c>
      <x:c r="C1" s="4" t="str">
        <x:v>Commercial Deal Request Form</x:v>
      </x:c>
      <x:c r="D1" s="4" t="str">
        <x:v>Commercial Deal Request Form</x:v>
      </x:c>
      <x:c r="E1" s="4" t="str">
        <x:v>Commercial Deal Request Form</x:v>
      </x:c>
      <x:c r="F1" s="4" t="str">
        <x:v>Commercial Deal Request Form</x:v>
      </x:c>
      <x:c r="G1" s="4" t="str">
        <x:v>Commercial Deal Request Form</x:v>
      </x:c>
      <x:c r="H1" s="4" t="str">
        <x:v>Commercial Deal Request Form</x:v>
      </x:c>
    </x:row>
    <x:row r="2" ht="25.5" customHeight="1">
      <x:c r="A2" s="7" t="str">
        <x:v>Pharmaceutical commercial deal intake template. Yellow fields are user-entered; blue fields are calculated or reference-driven.</x:v>
      </x:c>
      <x:c r="B2" s="7" t="str">
        <x:v>Pharmaceutical commercial deal intake template. Yellow fields are user-entered; blue fields are calculated or reference-driven.</x:v>
      </x:c>
      <x:c r="C2" s="7" t="str">
        <x:v>Pharmaceutical commercial deal intake template. Yellow fields are user-entered; blue fields are calculated or reference-driven.</x:v>
      </x:c>
      <x:c r="D2" s="7" t="str">
        <x:v>Pharmaceutical commercial deal intake template. Yellow fields are user-entered; blue fields are calculated or reference-driven.</x:v>
      </x:c>
      <x:c r="E2" s="7" t="str">
        <x:v>Pharmaceutical commercial deal intake template. Yellow fields are user-entered; blue fields are calculated or reference-driven.</x:v>
      </x:c>
      <x:c r="F2" s="7" t="str">
        <x:v>Pharmaceutical commercial deal intake template. Yellow fields are user-entered; blue fields are calculated or reference-driven.</x:v>
      </x:c>
      <x:c r="G2" s="7" t="str">
        <x:v>Pharmaceutical commercial deal intake template. Yellow fields are user-entered; blue fields are calculated or reference-driven.</x:v>
      </x:c>
      <x:c r="H2" s="7" t="str">
        <x:v>Pharmaceutical commercial deal intake template. Yellow fields are user-entered; blue fields are calculated or reference-driven.</x:v>
      </x:c>
    </x:row>
    <x:row r="4">
      <x:c r="A4" s="10" t="str">
        <x:v>Deal Title</x:v>
      </x:c>
      <x:c r="B4" s="11" t="str">
        <x:v>Enter data here</x:v>
      </x:c>
      <x:c r="C4" s="10" t="str">
        <x:v>Deal Type</x:v>
      </x:c>
      <x:c r="D4" s="11" t="str">
        <x:v>New Sale</x:v>
      </x:c>
      <x:c r="E4" s="10" t="str">
        <x:v>Status</x:v>
      </x:c>
      <x:c r="F4" s="11" t="str">
        <x:v>Draft</x:v>
      </x:c>
      <x:c r="G4" s="10" t="str">
        <x:v>Currency</x:v>
      </x:c>
      <x:c r="H4" s="11" t="str">
        <x:v>USD</x:v>
      </x:c>
    </x:row>
    <x:row r="5">
      <x:c r="A5" s="10" t="str">
        <x:v>Customer ID</x:v>
      </x:c>
      <x:c r="B5" s="11" t="str">
        <x:v>CUST-1001</x:v>
      </x:c>
      <x:c r="C5" s="10" t="str">
        <x:v>Customer Name</x:v>
      </x:c>
      <x:c r="D5" s="11" t="str">
        <x:v>Northstar Health Systems</x:v>
      </x:c>
      <x:c r="E5" s="10" t="str">
        <x:v>Region</x:v>
      </x:c>
      <x:c r="F5" s="11" t="str">
        <x:v>North America</x:v>
      </x:c>
      <x:c r="G5" s="10" t="str">
        <x:v>Segment</x:v>
      </x:c>
      <x:c r="H5" s="11" t="str">
        <x:v>Enterprise</x:v>
      </x:c>
    </x:row>
    <x:row r="6">
      <x:c r="A6" s="10" t="str">
        <x:v>Opportunity ID</x:v>
      </x:c>
      <x:c r="B6" s="11" t="str">
        <x:v>OPP-2001</x:v>
      </x:c>
      <x:c r="C6" s="10" t="str">
        <x:v>Target Close Date</x:v>
      </x:c>
      <x:c r="D6" s="12" t="str">
        <x:v>2026-07-31</x:v>
      </x:c>
      <x:c r="E6" s="10" t="str">
        <x:v>Requested Effective Date</x:v>
      </x:c>
      <x:c r="F6" s="12" t="str">
        <x:v>2026-08-15</x:v>
      </x:c>
      <x:c r="G6" s="10" t="str">
        <x:v>Strategic Account</x:v>
      </x:c>
      <x:c r="H6" s="11" t="str">
        <x:v>Yes</x:v>
      </x:c>
    </x:row>
    <x:row r="7">
      <x:c r="A7" s="10" t="str">
        <x:v>Payment Terms</x:v>
      </x:c>
      <x:c r="B7" s="11" t="str">
        <x:v>Net 60</x:v>
      </x:c>
      <x:c r="C7" s="10" t="str">
        <x:v>Contract Duration Months</x:v>
      </x:c>
      <x:c r="D7" s="11" t="n">
        <x:v>36</x:v>
      </x:c>
      <x:c r="E7" s="10" t="str">
        <x:v>Billing Frequency</x:v>
      </x:c>
      <x:c r="F7" s="11" t="str">
        <x:v>Annual</x:v>
      </x:c>
      <x:c r="G7" s="10" t="str">
        <x:v>Special Terms Requested</x:v>
      </x:c>
      <x:c r="H7" s="11" t="str">
        <x:v>Yes</x:v>
      </x:c>
    </x:row>
    <x:row r="8">
      <x:c r="A8" s="10" t="str">
        <x:v>Known Competitor</x:v>
      </x:c>
      <x:c r="B8" s="11" t="str">
        <x:v>Competitor A</x:v>
      </x:c>
      <x:c r="C8" s="10" t="str">
        <x:v>Competitive Situation</x:v>
      </x:c>
      <x:c r="D8" s="11" t="str">
        <x:v>Incumbent competitor</x:v>
      </x:c>
      <x:c r="E8" s="10" t="str">
        <x:v>Sales Owner</x:v>
      </x:c>
      <x:c r="F8" s="11" t="str">
        <x:v>Maya Chen</x:v>
      </x:c>
      <x:c r="G8" s="10" t="str">
        <x:v>Sales Manager</x:v>
      </x:c>
      <x:c r="H8" s="11" t="str">
        <x:v>Jordan Blake</x:v>
      </x:c>
    </x:row>
    <x:row r="11" ht="22.5" customHeight="1">
      <x:c r="A11" s="18" t="str">
        <x:v>Line #</x:v>
      </x:c>
      <x:c r="B11" s="18" t="str">
        <x:v>SKU</x:v>
      </x:c>
      <x:c r="C11" s="18" t="str">
        <x:v>Product Name</x:v>
      </x:c>
      <x:c r="D11" s="18" t="str">
        <x:v>Quantity</x:v>
      </x:c>
      <x:c r="E11" s="18" t="str">
        <x:v>Unit List Price</x:v>
      </x:c>
      <x:c r="F11" s="18" t="str">
        <x:v>Proposed Unit Price</x:v>
      </x:c>
      <x:c r="G11" s="18" t="str">
        <x:v>Discount %</x:v>
      </x:c>
      <x:c r="H11" s="18" t="str">
        <x:v>Extended Proposed Price</x:v>
      </x:c>
      <x:c r="I11" s="18" t="str">
        <x:v>Requested Delivery Date</x:v>
      </x:c>
      <x:c r="J11" s="18" t="str">
        <x:v>Line Notes</x:v>
      </x:c>
    </x:row>
    <x:row r="12">
      <x:c r="A12" s="19" t="n">
        <x:v>1</x:v>
      </x:c>
      <x:c r="B12" s="19" t="str">
        <x:v>RX-ONC-100</x:v>
      </x:c>
      <x:c r="C12" s="19" t="str">
        <x:v>Oncavax IV 100mg Vial</x:v>
      </x:c>
      <x:c r="D12" s="19" t="n">
        <x:v>120</x:v>
      </x:c>
      <x:c r="E12" s="20" t="n">
        <x:v>1850</x:v>
      </x:c>
      <x:c r="F12" s="20" t="n">
        <x:v>1517</x:v>
      </x:c>
      <x:c r="G12" s="21" t="n">
        <x:f>IFERROR((E12-F12)/E12,"")</x:f>
        <x:v>0.18</x:v>
      </x:c>
      <x:c r="H12" s="20" t="n">
        <x:f>IFERROR(D12*F12,"")</x:f>
        <x:v>182040</x:v>
      </x:c>
      <x:c r="I12" s="22" t="str">
        <x:v>2026-08-15</x:v>
      </x:c>
      <x:c r="J12" s="19" t="str">
        <x:v>Initial infusion network order</x:v>
      </x:c>
    </x:row>
    <x:row r="13">
      <x:c r="A13" s="19" t="n">
        <x:v>2</x:v>
      </x:c>
      <x:c r="B13" s="19" t="str">
        <x:v>RX-ONC-500</x:v>
      </x:c>
      <x:c r="C13" s="19" t="str">
        <x:v>Oncavax IV 500mg Vial</x:v>
      </x:c>
      <x:c r="D13" s="19" t="n">
        <x:v>40</x:v>
      </x:c>
      <x:c r="E13" s="20" t="n">
        <x:v>7200</x:v>
      </x:c>
      <x:c r="F13" s="20" t="n">
        <x:v>5904</x:v>
      </x:c>
      <x:c r="G13" s="21" t="n">
        <x:f>IFERROR((E13-F13)/E13,"")</x:f>
        <x:v>0.18</x:v>
      </x:c>
      <x:c r="H13" s="20" t="n">
        <x:f>IFERROR(D13*F13,"")</x:f>
        <x:v>236160</x:v>
      </x:c>
      <x:c r="I13" s="22" t="str">
        <x:v>2026-08-15</x:v>
      </x:c>
      <x:c r="J13" s="19" t="str">
        <x:v>High-value cold-chain line</x:v>
      </x:c>
    </x:row>
    <x:row r="14">
      <x:c r="A14" s="19" t="n">
        <x:v>3</x:v>
      </x:c>
      <x:c r="B14" s="19" t="str">
        <x:v>SVC-START</x:v>
      </x:c>
      <x:c r="C14" s="19" t="str">
        <x:v>Patient Start Program</x:v>
      </x:c>
      <x:c r="D14" s="19" t="n">
        <x:v>1</x:v>
      </x:c>
      <x:c r="E14" s="20" t="n">
        <x:v>35000</x:v>
      </x:c>
      <x:c r="F14" s="20" t="n">
        <x:v>31500</x:v>
      </x:c>
      <x:c r="G14" s="21" t="n">
        <x:f>IFERROR((E14-F14)/E14,"")</x:f>
        <x:v>0.1</x:v>
      </x:c>
      <x:c r="H14" s="20" t="n">
        <x:f>IFERROR(D14*F14,"")</x:f>
        <x:v>31500</x:v>
      </x:c>
      <x:c r="I14" s="22" t="str">
        <x:v>2026-08-01</x:v>
      </x:c>
      <x:c r="J14" s="19" t="str">
        <x:v>Support program for rollout</x:v>
      </x:c>
    </x:row>
    <x:row r="15">
      <x:c r="A15" s="19" t="n">
        <x:v>4</x:v>
      </x:c>
      <x:c r="B15" s="19" t="str"/>
      <x:c r="C15" s="19" t="str"/>
      <x:c r="D15" s="19" t="str"/>
      <x:c r="E15" s="20" t="str"/>
      <x:c r="F15" s="20" t="str"/>
      <x:c r="G15" s="21" t="str">
        <x:f>IFERROR((E15-F15)/E15,"")</x:f>
      </x:c>
      <x:c r="H15" s="20" t="n">
        <x:f>IFERROR(D15*F15,"")</x:f>
        <x:v>0</x:v>
      </x:c>
      <x:c r="I15" s="22" t="str"/>
      <x:c r="J15" s="19" t="str"/>
    </x:row>
    <x:row r="16">
      <x:c r="A16" s="19" t="n">
        <x:v>5</x:v>
      </x:c>
      <x:c r="B16" s="19" t="str"/>
      <x:c r="C16" s="19" t="str"/>
      <x:c r="D16" s="19" t="str"/>
      <x:c r="E16" s="20" t="str"/>
      <x:c r="F16" s="20" t="str"/>
      <x:c r="G16" s="21" t="str">
        <x:f>IFERROR((E16-F16)/E16,"")</x:f>
      </x:c>
      <x:c r="H16" s="20" t="n">
        <x:f>IFERROR(D16*F16,"")</x:f>
        <x:v>0</x:v>
      </x:c>
      <x:c r="I16" s="22" t="str"/>
      <x:c r="J16" s="19" t="str"/>
    </x:row>
    <x:row r="19">
      <x:c r="A19" s="23" t="str">
        <x:v>Calculated Summary</x:v>
      </x:c>
      <x:c r="B19" s="23" t="str"/>
    </x:row>
    <x:row r="20">
      <x:c r="A20" s="8" t="str">
        <x:v>Total List Price</x:v>
      </x:c>
      <x:c r="B20" s="26" t="n">
        <x:f>SUMPRODUCT(D12:D16,E12:E16)</x:f>
        <x:v>545000</x:v>
      </x:c>
    </x:row>
    <x:row r="21">
      <x:c r="A21" s="8" t="str">
        <x:v>Total Proposed Price</x:v>
      </x:c>
      <x:c r="B21" s="26" t="n">
        <x:f>SUM(H12:H16)</x:f>
        <x:v>449700</x:v>
      </x:c>
    </x:row>
    <x:row r="22">
      <x:c r="A22" s="8" t="str">
        <x:v>Total Discount Amount</x:v>
      </x:c>
      <x:c r="B22" s="26" t="n">
        <x:f>B20-B21</x:f>
        <x:v>95300</x:v>
      </x:c>
    </x:row>
    <x:row r="23">
      <x:c r="A23" s="8" t="str">
        <x:v>Total Discount Percent</x:v>
      </x:c>
      <x:c r="B23" s="27" t="n">
        <x:f>IFERROR(B22/B20,0)</x:f>
        <x:v>0.1748623853211009</x:v>
      </x:c>
    </x:row>
    <x:row r="24">
      <x:c r="A24" s="8" t="str">
        <x:v>Line Item Count</x:v>
      </x:c>
      <x:c r="B24" s="8" t="n">
        <x:f>COUNTIF(B12:B16,"&lt;&gt;")</x:f>
        <x:v>5</x:v>
      </x:c>
    </x:row>
    <x:row r="25">
      <x:c r="A25" s="8" t="str">
        <x:v>Submission Readiness</x:v>
      </x:c>
      <x:c r="B25" s="8" t="str">
        <x:f>IF(AND(B4&lt;&gt;"Enter data here",B5&lt;&gt;"",B21&gt;0,B24&gt;0),"Ready to submit","Draft incomplete")</x:f>
        <x:v>Draft incomplete</x:v>
      </x:c>
    </x:row>
    <x:row r="28">
      <x:c r="A28" s="10" t="str">
        <x:v>Business Justification</x:v>
      </x:c>
      <x:c r="B28" s="30" t="str">
        <x:v>Northstar is a strategic IDN expanding oncology infusion capacity. Competitor A is the incumbent and has offered bundled support credits. Approval is expected to secure initial volume and expand formulary adoption.</x:v>
      </x:c>
      <x:c r="C28" s="30" t="str"/>
      <x:c r="D28" s="30" t="str"/>
      <x:c r="E28" s="30" t="str"/>
      <x:c r="F28" s="30" t="str"/>
      <x:c r="G28" s="30" t="str"/>
      <x:c r="H28" s="30" t="str"/>
    </x:row>
    <x:row r="29">
      <x:c r="A29" s="10" t="str">
        <x:v>Special Terms Description</x:v>
      </x:c>
      <x:c r="B29" s="30" t="str">
        <x:v>Customer requests phased delivery and year-two renewal price protection tied to volume commitment.</x:v>
      </x:c>
      <x:c r="C29" s="30" t="str"/>
      <x:c r="D29" s="30" t="str"/>
      <x:c r="E29" s="30" t="str"/>
      <x:c r="F29" s="30" t="str"/>
      <x:c r="G29" s="30" t="str"/>
      <x:c r="H29" s="30" t="str"/>
    </x:row>
    <x:row r="30">
      <x:c r="A30" s="10" t="str">
        <x:v>Validation Notes</x:v>
      </x:c>
      <x:c r="B30" s="30" t="str">
        <x:v>Warnings expected: discount above standard threshold and strategic account competitive pressure.</x:v>
      </x:c>
      <x:c r="C30" s="30" t="str"/>
      <x:c r="D30" s="30" t="str"/>
      <x:c r="E30" s="30" t="str"/>
      <x:c r="F30" s="30" t="str"/>
      <x:c r="G30" s="30" t="str"/>
      <x:c r="H30" s="30" t="str"/>
    </x:row>
    <x:row r="31">
      <x:c r="A31" s="10" t="str">
        <x:v>Instructions</x:v>
      </x:c>
      <x:c r="B31" s="30" t="str">
        <x:v>Complete yellow fields, add line items, review calculated summary, then submit for analysis.</x:v>
      </x:c>
      <x:c r="C31" s="30" t="str"/>
      <x:c r="D31" s="30" t="str"/>
      <x:c r="E31" s="30" t="str"/>
      <x:c r="F31" s="30" t="str"/>
      <x:c r="G31" s="30" t="str"/>
      <x:c r="H31" s="30" t="str"/>
    </x:row>
  </x:sheetData>
  <x:mergeCells>
    <x:mergeCell ref="A1:H1"/>
    <x:mergeCell ref="A2:H2"/>
    <x:mergeCell ref="A19:B19"/>
    <x:mergeCell ref="B28:H28"/>
    <x:mergeCell ref="B29:H29"/>
    <x:mergeCell ref="B30:H30"/>
    <x:mergeCell ref="B31:H31"/>
  </x:mergeCells>
  <x:dataValidations count="5">
    <x:dataValidation type="list" sqref="D4">
      <x:formula1>"New Sale,Renewal,Expansion,Competitive replacement,Strategic exception"</x:formula1>
    </x:dataValidation>
    <x:dataValidation type="list" sqref="F4">
      <x:formula1>"Draft,Submitted,Changes Requested,Withdrawn"</x:formula1>
    </x:dataValidation>
    <x:dataValidation type="list" sqref="B7">
      <x:formula1>"Net 30,Net 45,Net 60,Net 90,Custom"</x:formula1>
    </x:dataValidation>
    <x:dataValidation type="list" sqref="F7">
      <x:formula1>"Annual,Quarterly,Monthly,Milestone"</x:formula1>
    </x:dataValidation>
    <x:dataValidation type="list" sqref="H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15cd240e2e479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75" hidden="0" customWidth="1"/>
    <x:col min="3" max="3" width="17.5" hidden="0" customWidth="1"/>
    <x:col min="4" max="4" width="20" hidden="0" customWidth="1"/>
    <x:col min="5" max="5" width="11.25" hidden="0" customWidth="1"/>
    <x:col min="6" max="6" width="23.75" hidden="0" customWidth="1"/>
  </x:cols>
  <x:sheetData>
    <x:row r="1" ht="24" customHeight="1">
      <x:c r="A1" s="4" t="str">
        <x:v>Validation Lists</x:v>
      </x:c>
      <x:c r="B1" s="4" t="str">
        <x:v>Validation Lists</x:v>
      </x:c>
      <x:c r="C1" s="4" t="str">
        <x:v>Validation Lists</x:v>
      </x:c>
      <x:c r="D1" s="4" t="str">
        <x:v>Validation Lists</x:v>
      </x:c>
      <x:c r="E1" s="4" t="str">
        <x:v>Validation Lists</x:v>
      </x:c>
      <x:c r="F1" s="4" t="str">
        <x:v>Validation Lists</x:v>
      </x:c>
    </x:row>
    <x:row r="3" ht="22.5" customHeight="1">
      <x:c r="A3" s="18" t="str">
        <x:v>Deal Types</x:v>
      </x:c>
      <x:c r="B3" s="18" t="str">
        <x:v>Statuses</x:v>
      </x:c>
      <x:c r="C3" s="18" t="str">
        <x:v>Payment Terms</x:v>
      </x:c>
      <x:c r="D3" s="18" t="str">
        <x:v>Billing Frequencies</x:v>
      </x:c>
      <x:c r="E3" s="18" t="str">
        <x:v>Yes/No</x:v>
      </x:c>
      <x:c r="F3" s="18" t="str">
        <x:v>Competitive Situations</x:v>
      </x:c>
    </x:row>
    <x:row r="4">
      <x:c r="A4" s="19" t="str">
        <x:v>New Sale</x:v>
      </x:c>
      <x:c r="B4" s="19" t="str">
        <x:v>Draft</x:v>
      </x:c>
      <x:c r="C4" s="19" t="str">
        <x:v>Net 30</x:v>
      </x:c>
      <x:c r="D4" s="19" t="str">
        <x:v>Annual</x:v>
      </x:c>
      <x:c r="E4" s="19" t="str">
        <x:v>Yes</x:v>
      </x:c>
      <x:c r="F4" s="19" t="str">
        <x:v>None known</x:v>
      </x:c>
    </x:row>
    <x:row r="5">
      <x:c r="A5" s="19" t="str">
        <x:v>Renewal</x:v>
      </x:c>
      <x:c r="B5" s="19" t="str">
        <x:v>Submitted</x:v>
      </x:c>
      <x:c r="C5" s="19" t="str">
        <x:v>Net 45</x:v>
      </x:c>
      <x:c r="D5" s="19" t="str">
        <x:v>Quarterly</x:v>
      </x:c>
      <x:c r="E5" s="19" t="str">
        <x:v>No</x:v>
      </x:c>
      <x:c r="F5" s="19" t="str">
        <x:v>Incumbent competitor</x:v>
      </x:c>
    </x:row>
    <x:row r="6">
      <x:c r="A6" s="19" t="str">
        <x:v>Expansion</x:v>
      </x:c>
      <x:c r="B6" s="19" t="str">
        <x:v>Changes Requested</x:v>
      </x:c>
      <x:c r="C6" s="19" t="str">
        <x:v>Net 60</x:v>
      </x:c>
      <x:c r="D6" s="19" t="str">
        <x:v>Monthly</x:v>
      </x:c>
      <x:c r="E6" s="19" t="str"/>
      <x:c r="F6" s="19" t="str">
        <x:v>Price pressure</x:v>
      </x:c>
    </x:row>
    <x:row r="7">
      <x:c r="A7" s="19" t="str">
        <x:v>Competitive replacement</x:v>
      </x:c>
      <x:c r="B7" s="19" t="str">
        <x:v>Withdrawn</x:v>
      </x:c>
      <x:c r="C7" s="19" t="str">
        <x:v>Net 90</x:v>
      </x:c>
      <x:c r="D7" s="19" t="str">
        <x:v>Milestone</x:v>
      </x:c>
      <x:c r="E7" s="19" t="str"/>
      <x:c r="F7" s="19" t="str">
        <x:v>Feature comparison</x:v>
      </x:c>
    </x:row>
    <x:row r="8">
      <x:c r="A8" s="19" t="str">
        <x:v>Strategic exception</x:v>
      </x:c>
      <x:c r="B8" s="19" t="str"/>
      <x:c r="C8" s="19" t="str">
        <x:v>Custom</x:v>
      </x:c>
      <x:c r="D8" s="19" t="str"/>
      <x:c r="E8" s="19" t="str"/>
      <x:c r="F8" s="19" t="str">
        <x:v>Unknown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d59a706dbb9a48f8"/>
  </x:tableParts>
</x:worksheet>
</file>