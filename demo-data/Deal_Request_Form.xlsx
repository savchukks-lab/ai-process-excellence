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eal Request Form" sheetId="1" state="visible" r:id="rId1"/>
    <sheet name="Validation Lists" sheetId="2" state="visible" r:id="rId2"/>
    <sheet name="Reference Dat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\-mm\-dd"/>
  </numFmts>
  <fonts count="7">
    <font>
      <name val="Carlito"/>
      <sz val="11"/>
    </font>
    <font>
      <name val="Carlito"/>
      <b val="1"/>
      <color rgb="FFFFFFFF"/>
      <sz val="16"/>
    </font>
    <font>
      <name val="Carlito"/>
      <i val="1"/>
      <color rgb="FF334155"/>
      <sz val="11"/>
    </font>
    <font>
      <name val="Carlito"/>
      <b val="1"/>
      <color rgb="FFFFFFFF"/>
      <sz val="11"/>
    </font>
    <font>
      <name val="Carlito"/>
      <b val="1"/>
      <color rgb="FF1F2937"/>
      <sz val="11"/>
    </font>
    <font>
      <name val="Carlito"/>
      <color rgb="FF1F2937"/>
      <sz val="11"/>
    </font>
    <font>
      <name val="Carlito"/>
      <color rgb="FF334155"/>
      <sz val="11"/>
    </font>
  </fonts>
  <fills count="9">
    <fill>
      <patternFill/>
    </fill>
    <fill>
      <patternFill patternType="gray125"/>
    </fill>
    <fill>
      <patternFill patternType="solid">
        <fgColor rgb="FF24557A"/>
      </patternFill>
    </fill>
    <fill>
      <patternFill patternType="solid">
        <fgColor rgb="FFEEF3F7"/>
      </patternFill>
    </fill>
    <fill>
      <patternFill patternType="solid">
        <fgColor rgb="FF147D76"/>
      </patternFill>
    </fill>
    <fill>
      <patternFill patternType="solid">
        <fgColor rgb="FFE8EEF3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F8FAFC"/>
      </patternFill>
    </fill>
  </fills>
  <borders count="11">
    <border>
      <left/>
      <right/>
      <top/>
      <bottom/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5" fillId="7" borderId="0" applyAlignment="1" pivotButton="0" quotePrefix="0" xfId="0">
      <alignment vertical="center" wrapText="1"/>
    </xf>
    <xf numFmtId="3" fontId="5" fillId="6" borderId="1" applyAlignment="1" pivotButton="0" quotePrefix="0" xfId="0">
      <alignment vertical="center" wrapText="1"/>
    </xf>
    <xf numFmtId="4" fontId="5" fillId="7" borderId="0" applyAlignment="1" pivotButton="0" quotePrefix="0" xfId="0">
      <alignment vertical="center" wrapText="1"/>
    </xf>
    <xf numFmtId="164" fontId="5" fillId="7" borderId="0" applyAlignment="1" pivotButton="0" quotePrefix="0" xfId="0">
      <alignment vertical="center" wrapText="1"/>
    </xf>
    <xf numFmtId="164" fontId="5" fillId="6" borderId="1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4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5" fillId="6" borderId="1" applyAlignment="1" pivotButton="0" quotePrefix="0" xfId="0">
      <alignment vertical="center" wrapText="1"/>
    </xf>
    <xf numFmtId="165" fontId="5" fillId="6" borderId="1" applyAlignment="1" pivotButton="0" quotePrefix="0" xfId="0">
      <alignment vertical="center" wrapText="1"/>
    </xf>
    <xf numFmtId="0" fontId="4" fillId="5" borderId="0" applyAlignment="1" pivotButton="0" quotePrefix="0" xfId="0">
      <alignment vertical="center" wrapText="1"/>
    </xf>
    <xf numFmtId="0" fontId="0" fillId="0" borderId="0" pivotButton="0" quotePrefix="0" xfId="0"/>
    <xf numFmtId="0" fontId="5" fillId="7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5" fontId="5" fillId="6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64" fontId="5" fillId="7" borderId="0" applyAlignment="1" pivotButton="0" quotePrefix="0" xfId="0">
      <alignment vertical="center" wrapText="1"/>
    </xf>
    <xf numFmtId="164" fontId="5" fillId="6" borderId="1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ealRequestLines" displayName="DealRequestLines" ref="A17:K27" headerRowCount="1">
  <tableColumns count="11">
    <tableColumn id="1" name="Line #"/>
    <tableColumn id="2" name="SKU"/>
    <tableColumn id="3" name="Product Name"/>
    <tableColumn id="4" name="Quantity"/>
    <tableColumn id="5" name="Gross Price"/>
    <tableColumn id="6" name="Base Discount %"/>
    <tableColumn id="7" name="Current Net Price"/>
    <tableColumn id="8" name="Requested Additional Discount %"/>
    <tableColumn id="9" name="Requested Net Price"/>
    <tableColumn id="10" name="Requested Net Revenue"/>
    <tableColumn id="11" name="Line Commercial Justific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alidationLists" displayName="ValidationLists" ref="A3:F8" headerRowCount="1">
  <tableColumns count="6">
    <tableColumn id="1" name="Deal Types"/>
    <tableColumn id="2" name="Statuses"/>
    <tableColumn id="3" name="Payment Terms"/>
    <tableColumn id="4" name="Billing Frequencies"/>
    <tableColumn id="5" name="Yes / No"/>
    <tableColumn id="6" name="Threat Leve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ductReference" displayName="ProductReference" ref="A2:F16" headerRowCount="1">
  <tableColumns count="6">
    <tableColumn id="1" name="SKU"/>
    <tableColumn id="2" name="Product Name"/>
    <tableColumn id="3" name="Gross Price"/>
    <tableColumn id="4" name="Base Discount %"/>
    <tableColumn id="5" name="Current Net Price"/>
    <tableColumn id="6" name="Standard Co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showGridLines="0" tabSelected="1" topLeftCell="A24" workbookViewId="0">
      <selection activeCell="J6" sqref="J6:K6"/>
    </sheetView>
  </sheetViews>
  <sheetFormatPr baseColWidth="8" defaultRowHeight="14.25"/>
  <cols>
    <col width="18" customWidth="1" style="17" min="1" max="2"/>
    <col width="23" customWidth="1" style="17" min="3" max="3"/>
    <col width="12" customWidth="1" style="17" min="4" max="4"/>
    <col width="16" customWidth="1" style="17" min="5" max="5"/>
    <col width="17" customWidth="1" style="17" min="6" max="6"/>
    <col width="18" customWidth="1" style="17" min="7" max="7"/>
    <col width="27" customWidth="1" style="17" min="8" max="8"/>
    <col width="18" customWidth="1" style="17" min="9" max="9"/>
    <col width="22" customWidth="1" style="17" min="10" max="10"/>
    <col width="42" customWidth="1" style="17" min="11" max="11"/>
  </cols>
  <sheetData>
    <row r="1" ht="30" customHeight="1" s="17">
      <c r="A1" s="11" t="inlineStr">
        <is>
          <t>Commercial Deal Request Form</t>
        </is>
      </c>
    </row>
    <row r="2" ht="36" customHeight="1" s="17">
      <c r="A2" s="12" t="inlineStr">
        <is>
          <t>Fill only yellow user-input fields. Requested Total Discount % is the complete customer-facing discount from Gross Price. Base Rebate is reference data and is already reflected in Gross Price.</t>
        </is>
      </c>
    </row>
    <row r="3"/>
    <row r="4" ht="15" customHeight="1" s="17">
      <c r="A4" s="13" t="inlineStr">
        <is>
          <t>Deal Header</t>
        </is>
      </c>
    </row>
    <row r="5" ht="15" customHeight="1" s="17">
      <c r="A5" s="16" t="inlineStr">
        <is>
          <t>Deal Title</t>
        </is>
      </c>
      <c r="B5" s="14" t="inlineStr">
        <is>
          <t>Northstar Commercial Agreement</t>
        </is>
      </c>
      <c r="C5" s="20" t="n"/>
      <c r="D5" s="21" t="n"/>
      <c r="E5" s="16" t="inlineStr">
        <is>
          <t>Deal Type</t>
        </is>
      </c>
      <c r="F5" s="14" t="inlineStr">
        <is>
          <t>Contract Renewal</t>
        </is>
      </c>
      <c r="G5" s="21" t="n"/>
      <c r="H5" s="16" t="inlineStr">
        <is>
          <t>Status</t>
        </is>
      </c>
      <c r="I5" s="14" t="inlineStr">
        <is>
          <t>Draft</t>
        </is>
      </c>
      <c r="J5" s="20" t="n"/>
      <c r="K5" s="21" t="n"/>
    </row>
    <row r="6" ht="30" customHeight="1" s="17">
      <c r="A6" s="16" t="inlineStr">
        <is>
          <t>Sold-To Customer</t>
        </is>
      </c>
      <c r="B6" s="14" t="inlineStr">
        <is>
          <t>Northstar Health Systems</t>
        </is>
      </c>
      <c r="C6" s="20" t="n"/>
      <c r="D6" s="21" t="n"/>
      <c r="E6" s="16" t="inlineStr">
        <is>
          <t>End Account</t>
        </is>
      </c>
      <c r="F6" s="14" t="inlineStr">
        <is>
          <t>Northstar Health Systems</t>
        </is>
      </c>
      <c r="G6" s="20" t="n"/>
      <c r="H6" s="21" t="n"/>
      <c r="I6" s="16" t="inlineStr">
        <is>
          <t>Commercial Decision Deadline</t>
        </is>
      </c>
      <c r="J6" s="22" t="n">
        <v>46234</v>
      </c>
      <c r="K6" s="21" t="n"/>
    </row>
    <row r="7" ht="45" customHeight="1" s="17">
      <c r="A7" s="16" t="inlineStr">
        <is>
          <t>Payment Terms</t>
        </is>
      </c>
      <c r="B7" s="14" t="inlineStr">
        <is>
          <t>Net 60</t>
        </is>
      </c>
      <c r="C7" s="21" t="n"/>
      <c r="D7" s="16" t="inlineStr">
        <is>
          <t>Contract Duration Months</t>
        </is>
      </c>
      <c r="E7" s="14" t="n">
        <v>24</v>
      </c>
      <c r="F7" s="21" t="n"/>
      <c r="G7" s="16" t="inlineStr">
        <is>
          <t>Billing Frequency</t>
        </is>
      </c>
      <c r="H7" s="14" t="inlineStr">
        <is>
          <t>Annual</t>
        </is>
      </c>
      <c r="I7" s="21" t="n"/>
      <c r="J7" s="16" t="inlineStr">
        <is>
          <t>Special Terms Requested</t>
        </is>
      </c>
      <c r="K7" s="14" t="inlineStr">
        <is>
          <t>No</t>
        </is>
      </c>
    </row>
    <row r="8" ht="15" customHeight="1" s="17">
      <c r="A8" s="16" t="inlineStr">
        <is>
          <t>Sales Owner</t>
        </is>
      </c>
      <c r="B8" s="14" t="inlineStr">
        <is>
          <t>Maya Chen</t>
        </is>
      </c>
      <c r="C8" s="20" t="n"/>
      <c r="D8" s="21" t="n"/>
      <c r="E8" s="16" t="inlineStr">
        <is>
          <t>Sales Manager</t>
        </is>
      </c>
      <c r="F8" s="14" t="inlineStr">
        <is>
          <t>Jordan Blake</t>
        </is>
      </c>
      <c r="G8" s="20" t="n"/>
      <c r="H8" s="21" t="n"/>
    </row>
    <row r="9"/>
    <row r="10">
      <c r="A10" s="16" t="inlineStr">
        <is>
          <t>Business Justification (Mandatory)</t>
        </is>
      </c>
      <c r="B10" s="14" t="inlineStr">
        <is>
          <t>Contract renewal protects strategic volume following competitor entry and supports a commercially sustainable account relationship.</t>
        </is>
      </c>
      <c r="C10" s="23" t="n"/>
      <c r="D10" s="23" t="n"/>
      <c r="E10" s="23" t="n"/>
      <c r="F10" s="23" t="n"/>
      <c r="G10" s="23" t="n"/>
      <c r="H10" s="23" t="n"/>
      <c r="I10" s="23" t="n"/>
      <c r="J10" s="23" t="n"/>
      <c r="K10" s="24" t="n"/>
    </row>
    <row r="11">
      <c r="B11" s="25" t="n"/>
      <c r="K11" s="26" t="n"/>
    </row>
    <row r="12">
      <c r="B12" s="27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9" t="n"/>
    </row>
    <row r="13">
      <c r="A13" s="16" t="inlineStr">
        <is>
          <t>Special Terms Description (Optional)</t>
        </is>
      </c>
      <c r="B13" s="14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4" t="n"/>
    </row>
    <row r="14">
      <c r="B14" s="27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9" t="n"/>
    </row>
    <row r="15"/>
    <row r="16" ht="15" customHeight="1" s="17">
      <c r="A16" s="13" t="inlineStr">
        <is>
          <t>Line Items</t>
        </is>
      </c>
    </row>
    <row r="17" ht="33.95" customHeight="1" s="17">
      <c r="A17" s="8" t="inlineStr">
        <is>
          <t>Line #</t>
        </is>
      </c>
      <c r="B17" s="8" t="inlineStr">
        <is>
          <t>SKU</t>
        </is>
      </c>
      <c r="C17" s="8" t="inlineStr">
        <is>
          <t>Product Name</t>
        </is>
      </c>
      <c r="D17" s="8" t="inlineStr">
        <is>
          <t>Quantity</t>
        </is>
      </c>
      <c r="E17" s="8" t="inlineStr">
        <is>
          <t>Gross Price</t>
        </is>
      </c>
      <c r="F17" s="8" t="inlineStr">
        <is>
          <t>Base Rebate % (Reference)</t>
        </is>
      </c>
      <c r="G17" s="8" t="inlineStr">
        <is>
          <t>Current Net Price</t>
        </is>
      </c>
      <c r="H17" s="8" t="inlineStr">
        <is>
          <t>Requested Total Discount %</t>
        </is>
      </c>
      <c r="I17" s="8" t="inlineStr">
        <is>
          <t>Requested Net Price</t>
        </is>
      </c>
      <c r="J17" s="8" t="inlineStr">
        <is>
          <t>Requested Net Revenue</t>
        </is>
      </c>
      <c r="K17" s="8" t="inlineStr">
        <is>
          <t>Line Commercial Justification</t>
        </is>
      </c>
    </row>
    <row r="18" ht="28.5" customHeight="1" s="17">
      <c r="A18" s="18">
        <f>IF(B18="","",ROW()-17)</f>
        <v/>
      </c>
      <c r="B18" s="14" t="inlineStr">
        <is>
          <t>RX-ONC-100</t>
        </is>
      </c>
      <c r="C18" s="18">
        <f>IFERROR(VLOOKUP(B18,'Reference Data'!$A$2:$F$15,2,FALSE),"")</f>
        <v/>
      </c>
      <c r="D18" s="4" t="n">
        <v>100</v>
      </c>
      <c r="E18" s="5">
        <f>IFERROR(VLOOKUP(B18,'Reference Data'!$A$2:$F$15,3,FALSE),"")</f>
        <v/>
      </c>
      <c r="F18" s="30">
        <f>IFERROR(VLOOKUP(B18,'Reference Data'!$A$2:$F$15,4,FALSE),"")</f>
        <v/>
      </c>
      <c r="G18" s="5">
        <f>IFERROR(VLOOKUP(B18,'Reference Data'!$A$2:$F$15,5,FALSE),"")</f>
        <v/>
      </c>
      <c r="H18" s="31" t="n">
        <v>0.09</v>
      </c>
      <c r="I18" s="5">
        <f>IF(OR(E18="",H18=""),"",E18*(1-H18))</f>
        <v/>
      </c>
      <c r="J18" s="5">
        <f>IF(OR(D18="",I18=""),"",D18*I18)</f>
        <v/>
      </c>
      <c r="K18" s="14" t="inlineStr">
        <is>
          <t>Total discount supports renewal defense while preserving committed annual volume.</t>
        </is>
      </c>
    </row>
    <row r="19" ht="28.5" customHeight="1" s="17">
      <c r="A19" s="18">
        <f>IF(B19="","",ROW()-17)</f>
        <v/>
      </c>
      <c r="B19" s="14" t="inlineStr">
        <is>
          <t>RX-ONC-500</t>
        </is>
      </c>
      <c r="C19" s="18">
        <f>IFERROR(VLOOKUP(B19,'Reference Data'!$A$2:$F$15,2,FALSE),"")</f>
        <v/>
      </c>
      <c r="D19" s="4" t="n">
        <v>25</v>
      </c>
      <c r="E19" s="5">
        <f>IFERROR(VLOOKUP(B19,'Reference Data'!$A$2:$F$15,3,FALSE),"")</f>
        <v/>
      </c>
      <c r="F19" s="30">
        <f>IFERROR(VLOOKUP(B19,'Reference Data'!$A$2:$F$15,4,FALSE),"")</f>
        <v/>
      </c>
      <c r="G19" s="5">
        <f>IFERROR(VLOOKUP(B19,'Reference Data'!$A$2:$F$15,5,FALSE),"")</f>
        <v/>
      </c>
      <c r="H19" s="31" t="n">
        <v>0.13</v>
      </c>
      <c r="I19" s="5">
        <f>IF(OR(E19="",H19=""),"",E19*(1-H19))</f>
        <v/>
      </c>
      <c r="J19" s="5">
        <f>IF(OR(D19="",I19=""),"",D19*I19)</f>
        <v/>
      </c>
      <c r="K19" s="14" t="inlineStr">
        <is>
          <t>Requested total discount reflects competitive pressure and the consolidated contract term.</t>
        </is>
      </c>
    </row>
    <row r="20">
      <c r="A20" s="18">
        <f>IF(B20="","",ROW()-17)</f>
        <v/>
      </c>
      <c r="B20" s="14" t="n"/>
      <c r="C20" s="18">
        <f>IFERROR(VLOOKUP(B20,'Reference Data'!$A$2:$F$15,2,FALSE),"")</f>
        <v/>
      </c>
      <c r="D20" s="4" t="n"/>
      <c r="E20" s="5">
        <f>IFERROR(VLOOKUP(B20,'Reference Data'!$A$2:$F$15,3,FALSE),"")</f>
        <v/>
      </c>
      <c r="F20" s="30">
        <f>IFERROR(VLOOKUP(B20,'Reference Data'!$A$2:$F$15,4,FALSE),"")</f>
        <v/>
      </c>
      <c r="G20" s="5">
        <f>IFERROR(VLOOKUP(B20,'Reference Data'!$A$2:$F$15,5,FALSE),"")</f>
        <v/>
      </c>
      <c r="H20" s="31" t="n"/>
      <c r="I20" s="5">
        <f>IF(OR(E20="",H20=""),"",E20*(1-H20))</f>
        <v/>
      </c>
      <c r="J20" s="5">
        <f>IF(OR(D20="",I20=""),"",D20*I20)</f>
        <v/>
      </c>
      <c r="K20" s="14" t="n"/>
    </row>
    <row r="21">
      <c r="A21" s="18">
        <f>IF(B21="","",ROW()-17)</f>
        <v/>
      </c>
      <c r="B21" s="14" t="n"/>
      <c r="C21" s="18">
        <f>IFERROR(VLOOKUP(B21,'Reference Data'!$A$2:$F$15,2,FALSE),"")</f>
        <v/>
      </c>
      <c r="D21" s="4" t="n"/>
      <c r="E21" s="5">
        <f>IFERROR(VLOOKUP(B21,'Reference Data'!$A$2:$F$15,3,FALSE),"")</f>
        <v/>
      </c>
      <c r="F21" s="30">
        <f>IFERROR(VLOOKUP(B21,'Reference Data'!$A$2:$F$15,4,FALSE),"")</f>
        <v/>
      </c>
      <c r="G21" s="5">
        <f>IFERROR(VLOOKUP(B21,'Reference Data'!$A$2:$F$15,5,FALSE),"")</f>
        <v/>
      </c>
      <c r="H21" s="31" t="n"/>
      <c r="I21" s="5">
        <f>IF(OR(E21="",H21=""),"",E21*(1-H21))</f>
        <v/>
      </c>
      <c r="J21" s="5">
        <f>IF(OR(D21="",I21=""),"",D21*I21)</f>
        <v/>
      </c>
      <c r="K21" s="14" t="n"/>
    </row>
    <row r="22">
      <c r="A22" s="18">
        <f>IF(B22="","",ROW()-17)</f>
        <v/>
      </c>
      <c r="B22" s="14" t="n"/>
      <c r="C22" s="18">
        <f>IFERROR(VLOOKUP(B22,'Reference Data'!$A$2:$F$15,2,FALSE),"")</f>
        <v/>
      </c>
      <c r="D22" s="4" t="n"/>
      <c r="E22" s="5">
        <f>IFERROR(VLOOKUP(B22,'Reference Data'!$A$2:$F$15,3,FALSE),"")</f>
        <v/>
      </c>
      <c r="F22" s="30">
        <f>IFERROR(VLOOKUP(B22,'Reference Data'!$A$2:$F$15,4,FALSE),"")</f>
        <v/>
      </c>
      <c r="G22" s="5">
        <f>IFERROR(VLOOKUP(B22,'Reference Data'!$A$2:$F$15,5,FALSE),"")</f>
        <v/>
      </c>
      <c r="H22" s="31" t="n"/>
      <c r="I22" s="5">
        <f>IF(OR(E22="",H22=""),"",E22*(1-H22))</f>
        <v/>
      </c>
      <c r="J22" s="5">
        <f>IF(OR(D22="",I22=""),"",D22*I22)</f>
        <v/>
      </c>
      <c r="K22" s="14" t="n"/>
    </row>
    <row r="23">
      <c r="A23" s="18">
        <f>IF(B23="","",ROW()-17)</f>
        <v/>
      </c>
      <c r="B23" s="14" t="n"/>
      <c r="C23" s="18">
        <f>IFERROR(VLOOKUP(B23,'Reference Data'!$A$2:$F$15,2,FALSE),"")</f>
        <v/>
      </c>
      <c r="D23" s="4" t="n"/>
      <c r="E23" s="5">
        <f>IFERROR(VLOOKUP(B23,'Reference Data'!$A$2:$F$15,3,FALSE),"")</f>
        <v/>
      </c>
      <c r="F23" s="30">
        <f>IFERROR(VLOOKUP(B23,'Reference Data'!$A$2:$F$15,4,FALSE),"")</f>
        <v/>
      </c>
      <c r="G23" s="5">
        <f>IFERROR(VLOOKUP(B23,'Reference Data'!$A$2:$F$15,5,FALSE),"")</f>
        <v/>
      </c>
      <c r="H23" s="31" t="n"/>
      <c r="I23" s="5">
        <f>IF(OR(E23="",H23=""),"",E23*(1-H23))</f>
        <v/>
      </c>
      <c r="J23" s="5">
        <f>IF(OR(D23="",I23=""),"",D23*I23)</f>
        <v/>
      </c>
      <c r="K23" s="14" t="n"/>
    </row>
    <row r="24">
      <c r="A24" s="18">
        <f>IF(B24="","",ROW()-17)</f>
        <v/>
      </c>
      <c r="B24" s="14" t="n"/>
      <c r="C24" s="18">
        <f>IFERROR(VLOOKUP(B24,'Reference Data'!$A$2:$F$15,2,FALSE),"")</f>
        <v/>
      </c>
      <c r="D24" s="4" t="n"/>
      <c r="E24" s="5">
        <f>IFERROR(VLOOKUP(B24,'Reference Data'!$A$2:$F$15,3,FALSE),"")</f>
        <v/>
      </c>
      <c r="F24" s="30">
        <f>IFERROR(VLOOKUP(B24,'Reference Data'!$A$2:$F$15,4,FALSE),"")</f>
        <v/>
      </c>
      <c r="G24" s="5">
        <f>IFERROR(VLOOKUP(B24,'Reference Data'!$A$2:$F$15,5,FALSE),"")</f>
        <v/>
      </c>
      <c r="H24" s="31" t="n"/>
      <c r="I24" s="5">
        <f>IF(OR(E24="",H24=""),"",E24*(1-H24))</f>
        <v/>
      </c>
      <c r="J24" s="5">
        <f>IF(OR(D24="",I24=""),"",D24*I24)</f>
        <v/>
      </c>
      <c r="K24" s="14" t="n"/>
    </row>
    <row r="25">
      <c r="A25" s="18">
        <f>IF(B25="","",ROW()-17)</f>
        <v/>
      </c>
      <c r="B25" s="14" t="n"/>
      <c r="C25" s="18">
        <f>IFERROR(VLOOKUP(B25,'Reference Data'!$A$2:$F$15,2,FALSE),"")</f>
        <v/>
      </c>
      <c r="D25" s="4" t="n"/>
      <c r="E25" s="5">
        <f>IFERROR(VLOOKUP(B25,'Reference Data'!$A$2:$F$15,3,FALSE),"")</f>
        <v/>
      </c>
      <c r="F25" s="30">
        <f>IFERROR(VLOOKUP(B25,'Reference Data'!$A$2:$F$15,4,FALSE),"")</f>
        <v/>
      </c>
      <c r="G25" s="5">
        <f>IFERROR(VLOOKUP(B25,'Reference Data'!$A$2:$F$15,5,FALSE),"")</f>
        <v/>
      </c>
      <c r="H25" s="31" t="n"/>
      <c r="I25" s="5">
        <f>IF(OR(E25="",H25=""),"",E25*(1-H25))</f>
        <v/>
      </c>
      <c r="J25" s="5">
        <f>IF(OR(D25="",I25=""),"",D25*I25)</f>
        <v/>
      </c>
      <c r="K25" s="14" t="n"/>
    </row>
    <row r="26">
      <c r="A26" s="18">
        <f>IF(B26="","",ROW()-17)</f>
        <v/>
      </c>
      <c r="B26" s="14" t="n"/>
      <c r="C26" s="18">
        <f>IFERROR(VLOOKUP(B26,'Reference Data'!$A$2:$F$15,2,FALSE),"")</f>
        <v/>
      </c>
      <c r="D26" s="4" t="n"/>
      <c r="E26" s="5">
        <f>IFERROR(VLOOKUP(B26,'Reference Data'!$A$2:$F$15,3,FALSE),"")</f>
        <v/>
      </c>
      <c r="F26" s="30">
        <f>IFERROR(VLOOKUP(B26,'Reference Data'!$A$2:$F$15,4,FALSE),"")</f>
        <v/>
      </c>
      <c r="G26" s="5">
        <f>IFERROR(VLOOKUP(B26,'Reference Data'!$A$2:$F$15,5,FALSE),"")</f>
        <v/>
      </c>
      <c r="H26" s="31" t="n"/>
      <c r="I26" s="5">
        <f>IF(OR(E26="",H26=""),"",E26*(1-H26))</f>
        <v/>
      </c>
      <c r="J26" s="5">
        <f>IF(OR(D26="",I26=""),"",D26*I26)</f>
        <v/>
      </c>
      <c r="K26" s="14" t="n"/>
    </row>
    <row r="27">
      <c r="A27" s="18">
        <f>IF(B27="","",ROW()-17)</f>
        <v/>
      </c>
      <c r="B27" s="14" t="n"/>
      <c r="C27" s="18">
        <f>IFERROR(VLOOKUP(B27,'Reference Data'!$A$2:$F$15,2,FALSE),"")</f>
        <v/>
      </c>
      <c r="D27" s="4" t="n"/>
      <c r="E27" s="5">
        <f>IFERROR(VLOOKUP(B27,'Reference Data'!$A$2:$F$15,3,FALSE),"")</f>
        <v/>
      </c>
      <c r="F27" s="30">
        <f>IFERROR(VLOOKUP(B27,'Reference Data'!$A$2:$F$15,4,FALSE),"")</f>
        <v/>
      </c>
      <c r="G27" s="5">
        <f>IFERROR(VLOOKUP(B27,'Reference Data'!$A$2:$F$15,5,FALSE),"")</f>
        <v/>
      </c>
      <c r="H27" s="31" t="n"/>
      <c r="I27" s="5">
        <f>IF(OR(E27="",H27=""),"",E27*(1-H27))</f>
        <v/>
      </c>
      <c r="J27" s="5">
        <f>IF(OR(D27="",I27=""),"",D27*I27)</f>
        <v/>
      </c>
      <c r="K27" s="14" t="n"/>
    </row>
    <row r="28"/>
    <row r="29" ht="15" customHeight="1" s="17">
      <c r="A29" s="13" t="inlineStr">
        <is>
          <t>Calculated Summary</t>
        </is>
      </c>
    </row>
    <row r="30" ht="45" customHeight="1" s="17">
      <c r="A30" s="16" t="inlineStr">
        <is>
          <t>Gross Revenue</t>
        </is>
      </c>
      <c r="B30" s="5">
        <f>SUMPRODUCT(D18:D27,E18:E27)</f>
        <v/>
      </c>
      <c r="D30" s="16" t="inlineStr">
        <is>
          <t>Requested Net Revenue</t>
        </is>
      </c>
      <c r="E30" s="5">
        <f>SUM(J18:J27)</f>
        <v/>
      </c>
      <c r="G30" s="16" t="inlineStr">
        <is>
          <t>Discount Amount</t>
        </is>
      </c>
      <c r="H30" s="5">
        <f>B30-E30</f>
        <v/>
      </c>
    </row>
    <row r="31" ht="15" customHeight="1" s="17">
      <c r="A31" s="16" t="inlineStr">
        <is>
          <t>Discount %</t>
        </is>
      </c>
      <c r="B31" s="30">
        <f>IF(B30=0,0,H30/B30)</f>
        <v/>
      </c>
      <c r="D31" s="16" t="inlineStr">
        <is>
          <t>Gross Profit</t>
        </is>
      </c>
      <c r="E31" s="5">
        <f>E30-(D18*IFERROR(VLOOKUP(B18,'Reference Data'!$A$2:$F$15,6,FALSE),0)+D19*IFERROR(VLOOKUP(B19,'Reference Data'!$A$2:$F$15,6,FALSE),0)+D20*IFERROR(VLOOKUP(B20,'Reference Data'!$A$2:$F$15,6,FALSE),0)+D21*IFERROR(VLOOKUP(B21,'Reference Data'!$A$2:$F$15,6,FALSE),0)+D22*IFERROR(VLOOKUP(B22,'Reference Data'!$A$2:$F$15,6,FALSE),0)+D23*IFERROR(VLOOKUP(B23,'Reference Data'!$A$2:$F$15,6,FALSE),0)+D24*IFERROR(VLOOKUP(B24,'Reference Data'!$A$2:$F$15,6,FALSE),0)+D25*IFERROR(VLOOKUP(B25,'Reference Data'!$A$2:$F$15,6,FALSE),0)+D26*IFERROR(VLOOKUP(B26,'Reference Data'!$A$2:$F$15,6,FALSE),0)+D27*IFERROR(VLOOKUP(B27,'Reference Data'!$A$2:$F$15,6,FALSE),0))</f>
        <v/>
      </c>
      <c r="G31" s="16" t="inlineStr">
        <is>
          <t>Gross Margin %</t>
        </is>
      </c>
      <c r="H31" s="30">
        <f>IF(E30=0,0,E31/E30)</f>
        <v/>
      </c>
    </row>
    <row r="32" ht="30" customHeight="1" s="17">
      <c r="A32" s="16" t="inlineStr">
        <is>
          <t>Line Item Count</t>
        </is>
      </c>
      <c r="B32" s="18">
        <f>COUNTIF(B18:B27,"&lt;&gt;")</f>
        <v/>
      </c>
      <c r="D32" s="16" t="inlineStr">
        <is>
          <t>Submission Readiness</t>
        </is>
      </c>
      <c r="E32" s="18">
        <f>IF(AND(B5&lt;&gt;"",F5&lt;&gt;"",I5&lt;&gt;"",B6&lt;&gt;"",F6&lt;&gt;"",J6&lt;&gt;"",B7&lt;&gt;"",E7&gt;0,H7&lt;&gt;"",K7&lt;&gt;"",B8&lt;&gt;"",F8&lt;&gt;"",B10&lt;&gt;"",COUNTIF(B18:B27,"&lt;&gt;")&gt;0),"Ready to Submit","Incomplete")</f>
        <v/>
      </c>
    </row>
    <row r="33"/>
    <row r="34"/>
    <row r="35" ht="15" customHeight="1" s="17">
      <c r="A35" s="13" t="inlineStr">
        <is>
          <t>Instructions</t>
        </is>
      </c>
    </row>
    <row r="36" ht="24" customHeight="1" s="17">
      <c r="A36" s="19" t="inlineStr">
        <is>
          <t>1. Fill only yellow user-input fields.
2. Reference-driven fields are populated from master data.
3. Review the calculated summary before submitting.
4. Business Justification is mandatory; Special Terms Description is optional.</t>
        </is>
      </c>
    </row>
    <row r="37" ht="24" customHeight="1" s="17"/>
    <row r="38" ht="24" customHeight="1" s="17"/>
  </sheetData>
  <mergeCells count="23">
    <mergeCell ref="B7:C7"/>
    <mergeCell ref="B8:D8"/>
    <mergeCell ref="F8:H8"/>
    <mergeCell ref="E32:H32"/>
    <mergeCell ref="A1:K1"/>
    <mergeCell ref="A36:K38"/>
    <mergeCell ref="J6:K6"/>
    <mergeCell ref="A10:A12"/>
    <mergeCell ref="F5:G5"/>
    <mergeCell ref="I5:K5"/>
    <mergeCell ref="B13:K14"/>
    <mergeCell ref="A16:K16"/>
    <mergeCell ref="B6:D6"/>
    <mergeCell ref="B5:D5"/>
    <mergeCell ref="A13:A14"/>
    <mergeCell ref="H7:I7"/>
    <mergeCell ref="A2:K2"/>
    <mergeCell ref="A35:K35"/>
    <mergeCell ref="F6:H6"/>
    <mergeCell ref="A4:K4"/>
    <mergeCell ref="E7:F7"/>
    <mergeCell ref="A29:K29"/>
    <mergeCell ref="B10:K1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F4" sqref="F4:F6"/>
    </sheetView>
  </sheetViews>
  <sheetFormatPr baseColWidth="8" defaultRowHeight="14.25"/>
  <cols>
    <col width="26" customWidth="1" style="17" min="1" max="6"/>
  </cols>
  <sheetData>
    <row r="1" ht="20.25" customHeight="1" s="17">
      <c r="A1" s="11" t="inlineStr">
        <is>
          <t>Validation Lists</t>
        </is>
      </c>
    </row>
    <row r="2"/>
    <row r="3">
      <c r="A3" t="inlineStr">
        <is>
          <t>Deal Types</t>
        </is>
      </c>
      <c r="B3" t="inlineStr">
        <is>
          <t>Statuses</t>
        </is>
      </c>
      <c r="C3" t="inlineStr">
        <is>
          <t>Payment Terms</t>
        </is>
      </c>
      <c r="D3" t="inlineStr">
        <is>
          <t>Billing Frequencies</t>
        </is>
      </c>
      <c r="E3" t="inlineStr">
        <is>
          <t>Yes / No</t>
        </is>
      </c>
      <c r="F3" t="inlineStr">
        <is>
          <t>Threat Level</t>
        </is>
      </c>
    </row>
    <row r="4">
      <c r="A4" t="inlineStr">
        <is>
          <t>New Account Launch</t>
        </is>
      </c>
      <c r="B4" t="inlineStr">
        <is>
          <t>Draft</t>
        </is>
      </c>
      <c r="C4" t="inlineStr">
        <is>
          <t>Net 30</t>
        </is>
      </c>
      <c r="D4" t="inlineStr">
        <is>
          <t>Annual</t>
        </is>
      </c>
      <c r="E4" t="inlineStr">
        <is>
          <t>Yes</t>
        </is>
      </c>
      <c r="F4" t="inlineStr">
        <is>
          <t>Low</t>
        </is>
      </c>
    </row>
    <row r="5">
      <c r="A5" t="inlineStr">
        <is>
          <t>Contract Renewal</t>
        </is>
      </c>
      <c r="B5" t="inlineStr">
        <is>
          <t>Submitted</t>
        </is>
      </c>
      <c r="C5" t="inlineStr">
        <is>
          <t>Net 45</t>
        </is>
      </c>
      <c r="D5" t="inlineStr">
        <is>
          <t>Quarterly</t>
        </is>
      </c>
      <c r="E5" t="inlineStr">
        <is>
          <t>No</t>
        </is>
      </c>
      <c r="F5" t="inlineStr">
        <is>
          <t>Medium</t>
        </is>
      </c>
    </row>
    <row r="6">
      <c r="A6" t="inlineStr">
        <is>
          <t>Tender Bid</t>
        </is>
      </c>
      <c r="B6" t="inlineStr">
        <is>
          <t>Changes Requested</t>
        </is>
      </c>
      <c r="C6" t="inlineStr">
        <is>
          <t>Net 60</t>
        </is>
      </c>
      <c r="D6" t="inlineStr">
        <is>
          <t>Monthly</t>
        </is>
      </c>
      <c r="F6" t="inlineStr">
        <is>
          <t>High</t>
        </is>
      </c>
    </row>
    <row r="7">
      <c r="A7" t="inlineStr">
        <is>
          <t>Competitive Defense</t>
        </is>
      </c>
      <c r="B7" t="inlineStr">
        <is>
          <t>Approved</t>
        </is>
      </c>
      <c r="C7" t="inlineStr">
        <is>
          <t>Net 90</t>
        </is>
      </c>
      <c r="D7" t="inlineStr">
        <is>
          <t>Milestone</t>
        </is>
      </c>
    </row>
    <row r="8">
      <c r="A8" t="inlineStr">
        <is>
          <t>Strategic Exception</t>
        </is>
      </c>
      <c r="B8" t="inlineStr">
        <is>
          <t>Rejected</t>
        </is>
      </c>
      <c r="C8" t="inlineStr">
        <is>
          <t>Custom</t>
        </is>
      </c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F4" sqref="F4"/>
    </sheetView>
  </sheetViews>
  <sheetFormatPr baseColWidth="8" defaultRowHeight="14.25"/>
  <cols>
    <col width="18" customWidth="1" style="17" min="1" max="1"/>
    <col width="28" customWidth="1" style="17" min="2" max="2"/>
    <col width="18" customWidth="1" style="17" min="3" max="7"/>
    <col width="28" customWidth="1" style="17" min="8" max="10"/>
  </cols>
  <sheetData>
    <row r="1" ht="20.25" customHeight="1" s="17">
      <c r="A1" s="11" t="inlineStr">
        <is>
          <t>Reference Data</t>
        </is>
      </c>
    </row>
    <row r="2">
      <c r="A2" t="inlineStr">
        <is>
          <t>SKU</t>
        </is>
      </c>
      <c r="B2" t="inlineStr">
        <is>
          <t>Product Name</t>
        </is>
      </c>
      <c r="C2" t="inlineStr">
        <is>
          <t>Gross Price</t>
        </is>
      </c>
      <c r="D2" t="inlineStr">
        <is>
          <t>Base Rebate %</t>
        </is>
      </c>
      <c r="E2" t="inlineStr">
        <is>
          <t>Current Net Price</t>
        </is>
      </c>
      <c r="F2" t="inlineStr">
        <is>
          <t>Standard Cost</t>
        </is>
      </c>
      <c r="H2" t="inlineStr">
        <is>
          <t>Customers</t>
        </is>
      </c>
      <c r="I2" t="inlineStr">
        <is>
          <t>Sales Owners</t>
        </is>
      </c>
      <c r="J2" t="inlineStr">
        <is>
          <t>Sales Managers</t>
        </is>
      </c>
    </row>
    <row r="3">
      <c r="A3" t="inlineStr">
        <is>
          <t>RX-ONC-100</t>
        </is>
      </c>
      <c r="B3" t="inlineStr">
        <is>
          <t>Product Alpha</t>
        </is>
      </c>
      <c r="C3" s="9" t="n">
        <v>1776</v>
      </c>
      <c r="D3" s="32" t="n">
        <v>0.04</v>
      </c>
      <c r="E3" s="9">
        <f>C3</f>
        <v/>
      </c>
      <c r="F3" s="9" t="n">
        <v>555</v>
      </c>
      <c r="H3" t="inlineStr">
        <is>
          <t>Northstar Health Systems</t>
        </is>
      </c>
      <c r="I3" t="inlineStr">
        <is>
          <t>Maya Chen</t>
        </is>
      </c>
      <c r="J3" t="inlineStr">
        <is>
          <t>Jordan Blake</t>
        </is>
      </c>
    </row>
    <row r="4">
      <c r="A4" t="inlineStr">
        <is>
          <t>RX-ONC-500</t>
        </is>
      </c>
      <c r="B4" t="inlineStr">
        <is>
          <t>Product Beta</t>
        </is>
      </c>
      <c r="C4" s="9" t="n">
        <v>6840</v>
      </c>
      <c r="D4" s="32" t="n">
        <v>0.05</v>
      </c>
      <c r="E4" s="9">
        <f>C4</f>
        <v/>
      </c>
      <c r="F4" s="9" t="n">
        <v>2160</v>
      </c>
      <c r="H4" t="inlineStr">
        <is>
          <t>Meridian Specialty Pharmacy</t>
        </is>
      </c>
      <c r="I4" t="inlineStr">
        <is>
          <t>Ethan Brooks</t>
        </is>
      </c>
    </row>
    <row r="5">
      <c r="A5" t="inlineStr">
        <is>
          <t>BIO-RA-200</t>
        </is>
      </c>
      <c r="B5" t="inlineStr">
        <is>
          <t>Product Gamma</t>
        </is>
      </c>
      <c r="C5" s="9" t="n">
        <v>1121</v>
      </c>
      <c r="D5" s="32" t="n">
        <v>0.05</v>
      </c>
      <c r="E5" s="9">
        <f>C5</f>
        <v/>
      </c>
      <c r="F5" s="9" t="n">
        <v>413</v>
      </c>
      <c r="H5" t="inlineStr">
        <is>
          <t>Apex National GPO</t>
        </is>
      </c>
    </row>
    <row r="6">
      <c r="A6" t="inlineStr">
        <is>
          <t>RX-CARD-50</t>
        </is>
      </c>
      <c r="B6" t="inlineStr">
        <is>
          <t>Product Delta</t>
        </is>
      </c>
      <c r="C6" s="9" t="n">
        <v>394.8</v>
      </c>
      <c r="D6" s="32" t="n">
        <v>0.06</v>
      </c>
      <c r="E6" s="9">
        <f>C6</f>
        <v/>
      </c>
      <c r="F6" s="9" t="n">
        <v>147</v>
      </c>
      <c r="H6" t="inlineStr">
        <is>
          <t>HelioRx Distribution</t>
        </is>
      </c>
    </row>
    <row r="7">
      <c r="A7" t="inlineStr">
        <is>
          <t>RX-RARE-10</t>
        </is>
      </c>
      <c r="B7" t="inlineStr">
        <is>
          <t>Product Epsilon</t>
        </is>
      </c>
      <c r="C7" s="9" t="n">
        <v>27170</v>
      </c>
      <c r="D7" s="32" t="n">
        <v>0.05</v>
      </c>
      <c r="E7" s="9">
        <f>C7</f>
        <v/>
      </c>
      <c r="F7" s="9" t="n">
        <v>7150</v>
      </c>
      <c r="H7" t="inlineStr">
        <is>
          <t>Summit Oncology Clinics</t>
        </is>
      </c>
    </row>
    <row r="8">
      <c r="A8" t="inlineStr">
        <is>
          <t>DX-COMP-01</t>
        </is>
      </c>
      <c r="B8" t="inlineStr">
        <is>
          <t>Product Zeta</t>
        </is>
      </c>
      <c r="C8" s="9" t="n">
        <v>902.5</v>
      </c>
      <c r="D8" s="32" t="n">
        <v>0.05</v>
      </c>
      <c r="E8" s="9">
        <f>C8</f>
        <v/>
      </c>
      <c r="F8" s="9" t="n">
        <v>333</v>
      </c>
      <c r="H8" t="inlineStr">
        <is>
          <t>Cityline Payer Alliance</t>
        </is>
      </c>
    </row>
    <row r="9">
      <c r="A9" t="inlineStr">
        <is>
          <t>RX-HOSP-20</t>
        </is>
      </c>
      <c r="B9" t="inlineStr">
        <is>
          <t>Product Eta</t>
        </is>
      </c>
      <c r="C9" s="9" t="n">
        <v>1240.8</v>
      </c>
      <c r="D9" s="32" t="n">
        <v>0.06</v>
      </c>
      <c r="E9" s="9">
        <f>C9</f>
        <v/>
      </c>
      <c r="F9" s="9" t="n">
        <v>462</v>
      </c>
      <c r="H9" t="inlineStr">
        <is>
          <t>Orion Hospital Trust</t>
        </is>
      </c>
    </row>
    <row r="10">
      <c r="A10" t="inlineStr">
        <is>
          <t>BIO-DERM-80</t>
        </is>
      </c>
      <c r="B10" t="inlineStr">
        <is>
          <t>Product Theta</t>
        </is>
      </c>
      <c r="C10" s="9" t="n">
        <v>931</v>
      </c>
      <c r="D10" s="32" t="n">
        <v>0.05</v>
      </c>
      <c r="E10" s="9">
        <f>C10</f>
        <v/>
      </c>
      <c r="F10" s="9" t="n">
        <v>343</v>
      </c>
      <c r="H10" t="inlineStr">
        <is>
          <t>Beacon Clinical Research</t>
        </is>
      </c>
    </row>
    <row r="11">
      <c r="A11" t="inlineStr">
        <is>
          <t>RX-ONC-ORAL</t>
        </is>
      </c>
      <c r="B11" t="inlineStr">
        <is>
          <t>Product Iota</t>
        </is>
      </c>
      <c r="C11" s="9" t="n">
        <v>9024</v>
      </c>
      <c r="D11" s="32" t="n">
        <v>0.04</v>
      </c>
      <c r="E11" s="9">
        <f>C11</f>
        <v/>
      </c>
      <c r="F11" s="9" t="n">
        <v>2820</v>
      </c>
      <c r="H11" t="inlineStr">
        <is>
          <t>Crescent Public Tender Authority</t>
        </is>
      </c>
    </row>
    <row r="12">
      <c r="A12" t="inlineStr">
        <is>
          <t>RX-RARE-INF</t>
        </is>
      </c>
      <c r="B12" t="inlineStr">
        <is>
          <t>Product Kappa</t>
        </is>
      </c>
      <c r="C12" s="9" t="n">
        <v>33060</v>
      </c>
      <c r="D12" s="32" t="n">
        <v>0.05</v>
      </c>
      <c r="E12" s="9">
        <f>C12</f>
        <v/>
      </c>
      <c r="F12" s="9" t="n">
        <v>8700</v>
      </c>
      <c r="H12" t="inlineStr">
        <is>
          <t>Valence Integrated Care</t>
        </is>
      </c>
    </row>
    <row r="13">
      <c r="A13" t="inlineStr">
        <is>
          <t>DX-GENE-02</t>
        </is>
      </c>
      <c r="B13" t="inlineStr">
        <is>
          <t>Product Lambda</t>
        </is>
      </c>
      <c r="C13" s="9" t="n">
        <v>1216</v>
      </c>
      <c r="D13" s="32" t="n">
        <v>0.05</v>
      </c>
      <c r="E13" s="9">
        <f>C13</f>
        <v/>
      </c>
      <c r="F13" s="9" t="n">
        <v>448</v>
      </c>
      <c r="H13" t="inlineStr">
        <is>
          <t>Harbor Specialty Rx</t>
        </is>
      </c>
    </row>
    <row r="14">
      <c r="A14" t="inlineStr">
        <is>
          <t>SVC-PAT-01</t>
        </is>
      </c>
      <c r="B14" t="inlineStr">
        <is>
          <t>Product Mu</t>
        </is>
      </c>
      <c r="C14" s="9" t="n">
        <v>42000</v>
      </c>
      <c r="D14" s="32" t="n">
        <v>0</v>
      </c>
      <c r="E14" s="9">
        <f>C14</f>
        <v/>
      </c>
      <c r="F14" s="9" t="n">
        <v>16800</v>
      </c>
      <c r="H14" t="inlineStr">
        <is>
          <t>Union National Payer</t>
        </is>
      </c>
    </row>
    <row r="15">
      <c r="A15" t="inlineStr">
        <is>
          <t>SVC-START</t>
        </is>
      </c>
      <c r="B15" t="inlineStr">
        <is>
          <t>Product Nu</t>
        </is>
      </c>
      <c r="C15" s="9" t="n">
        <v>35000</v>
      </c>
      <c r="D15" s="32" t="n">
        <v>0</v>
      </c>
      <c r="E15" s="9">
        <f>C15</f>
        <v/>
      </c>
      <c r="F15" s="9" t="n">
        <v>14000</v>
      </c>
      <c r="H15" t="inlineStr">
        <is>
          <t>Atlas Hospital Network</t>
        </is>
      </c>
    </row>
    <row r="16">
      <c r="A16" t="inlineStr">
        <is>
          <t>REB-FORM</t>
        </is>
      </c>
      <c r="B16" t="inlineStr">
        <is>
          <t>Product Xi</t>
        </is>
      </c>
      <c r="C16" s="9" t="n">
        <v>0</v>
      </c>
      <c r="D16" s="32" t="n">
        <v>0</v>
      </c>
      <c r="E16" s="9">
        <f>C16</f>
        <v/>
      </c>
      <c r="F16" s="9" t="n">
        <v>0</v>
      </c>
      <c r="H16" t="inlineStr">
        <is>
          <t>NovaCare Oncology</t>
        </is>
      </c>
    </row>
    <row r="17">
      <c r="H17" t="inlineStr">
        <is>
          <t>Pioneer Medical Group</t>
        </is>
      </c>
    </row>
    <row r="18">
      <c r="H18" t="inlineStr">
        <is>
          <t>Europa Health Purchasing</t>
        </is>
      </c>
    </row>
    <row r="19">
      <c r="H19" t="inlineStr">
        <is>
          <t>Redwood Regional IDN</t>
        </is>
      </c>
    </row>
    <row r="20">
      <c r="H20" t="inlineStr">
        <is>
          <t>Sterling Specialty Distribution</t>
        </is>
      </c>
    </row>
    <row r="21">
      <c r="H21" t="inlineStr">
        <is>
          <t>BluePeak Payer Coalition</t>
        </is>
      </c>
    </row>
    <row r="22">
      <c r="H22" t="inlineStr">
        <is>
          <t>Metro Infusion Partners</t>
        </is>
      </c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2026-08-22T09:50:43Z</dcterms:created>
  <dcterms:modified xsi:type="dcterms:W3CDTF">2026-08-22T09:59:58Z</dcterms:modified>
  <cp:lastModifiedBy>Kirill Savchuk</cp:lastModifiedBy>
</cp:coreProperties>
</file>